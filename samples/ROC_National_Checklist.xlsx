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nosaptyltd715.sharepoint.com/sites/RetailSector-Admin/Shared Documents/Admin/02. SPAR ROC/11. GIGI/"/>
    </mc:Choice>
  </mc:AlternateContent>
  <xr:revisionPtr revIDLastSave="0" documentId="8_{0503DB82-E48B-42F3-ADF7-063F1272902E}" xr6:coauthVersionLast="47" xr6:coauthVersionMax="47" xr10:uidLastSave="{00000000-0000-0000-0000-000000000000}"/>
  <bookViews>
    <workbookView xWindow="28680" yWindow="-120" windowWidth="29040" windowHeight="15720" xr2:uid="{FFEE0606-E194-4DC9-A077-35435A8457DC}"/>
  </bookViews>
  <sheets>
    <sheet name="ROC NATIONAL" sheetId="1" r:id="rId1"/>
  </sheets>
  <definedNames>
    <definedName name="_xlnm.Print_Area" localSheetId="0">'ROC NATIONAL'!$A$1:$D$699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1" i="1" l="1"/>
  <c r="C692" i="1"/>
  <c r="C689" i="1"/>
  <c r="C687" i="1"/>
  <c r="C684" i="1"/>
  <c r="C675" i="1"/>
  <c r="C663" i="1"/>
  <c r="C654" i="1"/>
  <c r="C647" i="1"/>
  <c r="C641" i="1"/>
  <c r="C635" i="1"/>
  <c r="C628" i="1"/>
  <c r="C618" i="1"/>
  <c r="C609" i="1"/>
  <c r="C606" i="1"/>
  <c r="C599" i="1"/>
  <c r="C592" i="1"/>
  <c r="C584" i="1"/>
  <c r="C582" i="1"/>
  <c r="C577" i="1"/>
  <c r="C571" i="1"/>
  <c r="C568" i="1"/>
  <c r="C564" i="1"/>
  <c r="C559" i="1"/>
  <c r="C557" i="1"/>
  <c r="C555" i="1"/>
  <c r="C547" i="1"/>
  <c r="C542" i="1"/>
  <c r="C537" i="1"/>
  <c r="C534" i="1"/>
  <c r="C530" i="1"/>
  <c r="C525" i="1"/>
  <c r="C522" i="1"/>
  <c r="C514" i="1"/>
  <c r="C512" i="1"/>
  <c r="C507" i="1"/>
  <c r="C501" i="1"/>
  <c r="C498" i="1"/>
  <c r="C494" i="1"/>
  <c r="C489" i="1" s="1"/>
  <c r="C487" i="1"/>
  <c r="C479" i="1"/>
  <c r="C477" i="1"/>
  <c r="C472" i="1"/>
  <c r="C463" i="1"/>
  <c r="C460" i="1"/>
  <c r="C455" i="1"/>
  <c r="C450" i="1"/>
  <c r="C448" i="1"/>
  <c r="C440" i="1"/>
  <c r="C438" i="1"/>
  <c r="C433" i="1"/>
  <c r="C425" i="1"/>
  <c r="C423" i="1"/>
  <c r="C419" i="1"/>
  <c r="C413" i="1"/>
  <c r="C411" i="1"/>
  <c r="C399" i="1"/>
  <c r="C394" i="1"/>
  <c r="C389" i="1"/>
  <c r="C384" i="1"/>
  <c r="C371" i="1"/>
  <c r="C358" i="1"/>
  <c r="C349" i="1"/>
  <c r="C345" i="1"/>
  <c r="C338" i="1"/>
  <c r="C322" i="1"/>
  <c r="C311" i="1"/>
  <c r="C308" i="1"/>
  <c r="C304" i="1"/>
  <c r="C298" i="1"/>
  <c r="C283" i="1"/>
  <c r="C274" i="1"/>
  <c r="C271" i="1"/>
  <c r="C267" i="1"/>
  <c r="C260" i="1"/>
  <c r="C257" i="1"/>
  <c r="C241" i="1"/>
  <c r="C238" i="1"/>
  <c r="C229" i="1"/>
  <c r="C225" i="1"/>
  <c r="C218" i="1"/>
  <c r="C190" i="1"/>
  <c r="C181" i="1"/>
  <c r="C171" i="1"/>
  <c r="C164" i="1"/>
  <c r="C159" i="1"/>
  <c r="C154" i="1"/>
  <c r="C149" i="1"/>
  <c r="C140" i="1"/>
  <c r="C134" i="1"/>
  <c r="C125" i="1"/>
  <c r="C122" i="1"/>
  <c r="C116" i="1"/>
  <c r="C113" i="1"/>
  <c r="C103" i="1"/>
  <c r="C94" i="1"/>
  <c r="C88" i="1"/>
  <c r="C82" i="1"/>
  <c r="C79" i="1"/>
  <c r="C75" i="1"/>
  <c r="C73" i="1"/>
  <c r="C65" i="1"/>
  <c r="C61" i="1"/>
  <c r="C58" i="1"/>
  <c r="C55" i="1"/>
  <c r="C30" i="1"/>
  <c r="C20" i="1"/>
  <c r="C17" i="1"/>
  <c r="C13" i="1"/>
  <c r="C8" i="1"/>
</calcChain>
</file>

<file path=xl/sharedStrings.xml><?xml version="1.0" encoding="utf-8"?>
<sst xmlns="http://schemas.openxmlformats.org/spreadsheetml/2006/main" count="1772" uniqueCount="631">
  <si>
    <t>RETAIL OPERATIONS CHECKLIST - NATIONAL - FY 2024/2025</t>
  </si>
  <si>
    <t>STORE</t>
  </si>
  <si>
    <t>AREA</t>
  </si>
  <si>
    <t>LEGAL COMPLIANCE</t>
  </si>
  <si>
    <t>CRITERIA</t>
  </si>
  <si>
    <t>Score</t>
  </si>
  <si>
    <t>Fire Escapes - Extinguishers &amp; Hoses - Check the following:</t>
  </si>
  <si>
    <t>a</t>
  </si>
  <si>
    <t>Fire escapes signage visible</t>
  </si>
  <si>
    <t xml:space="preserve">Would include ensuring that fire escape doors are clearly marked and visible. </t>
  </si>
  <si>
    <t>b</t>
  </si>
  <si>
    <t>Fire escapes accessible and clear from stock or any obstruction</t>
  </si>
  <si>
    <t>Ensure that there is no obstruction to get to the Fire escapes. Eg: no equipment, boxes, tolleys infront of the fire escapes.</t>
  </si>
  <si>
    <t>c</t>
  </si>
  <si>
    <t xml:space="preserve">Fire extinguishers current - check dates </t>
  </si>
  <si>
    <t>Verify that the fire extinguishers are maintained and serviced regularly as per the specified requirements. Check the dates on the fire extinguishers to confirm they are within the valid service period and have not expired.</t>
  </si>
  <si>
    <t>d</t>
  </si>
  <si>
    <t>Fire hoses current - check dates</t>
  </si>
  <si>
    <t>Gas- Paraffin - Lifts - Hoists - Check the following:</t>
  </si>
  <si>
    <t xml:space="preserve">If the store uses gas, is there a current gas certificate. </t>
  </si>
  <si>
    <t>Check that the store provides you with a Certificate of Compliance, if no gas is used in the store mark as N/A</t>
  </si>
  <si>
    <t xml:space="preserve">If the store uses paraffin, is there a current license </t>
  </si>
  <si>
    <t>Check that their ia a License from the Department of Mineral Resources and Energy (DMRE) to sell paraffin</t>
  </si>
  <si>
    <t>Check that lifts and hoists are serviced monthly as per Legislation and certificate available</t>
  </si>
  <si>
    <t>Verify that the lifts and hoists are serviced monthly via the service certificate</t>
  </si>
  <si>
    <t>O.H.A.S.A - Wet Floor Signage</t>
  </si>
  <si>
    <t>Check that the store has a minimum of two wet floor signs available</t>
  </si>
  <si>
    <t>Verify visually that 2 wet floor board signs are available.</t>
  </si>
  <si>
    <t>Check that the wet floor signage is in a good state of repair</t>
  </si>
  <si>
    <t>Verify visually that the wet floor board signs are not damaged to a degree that it is not usuable and that the writing on the signage is visible.</t>
  </si>
  <si>
    <t>Labour Relations - Check the following posters:</t>
  </si>
  <si>
    <t>Does the store have the mandatory Current basic conditions of employment displayed in the canteen or high staff traffic area</t>
  </si>
  <si>
    <t>Take a picture of the  Current basic conditions of employment</t>
  </si>
  <si>
    <t>Does the store have the mandatory OHASA poster displayed in the canteen or in a high staff traffic area</t>
  </si>
  <si>
    <t>Take a picture of the  OHASA poster displayed</t>
  </si>
  <si>
    <t>Does the store have the mandatory current employment equity poster displayed in the canteen or a high traffic area</t>
  </si>
  <si>
    <t>Take picture of the  current employment equity poster</t>
  </si>
  <si>
    <t>PARKING AREA</t>
  </si>
  <si>
    <t>SHOPPING CENTER - STRIP MALL - STAND ALONE PARKING - STREET PARKING (exempt - becomes N/A)</t>
  </si>
  <si>
    <t>Parking Area : Check the following</t>
  </si>
  <si>
    <t>Are all parking bays clearly marked</t>
  </si>
  <si>
    <t>Score = 'all or nothing'.</t>
  </si>
  <si>
    <t>Is there a clearly demarcated disabled parking</t>
  </si>
  <si>
    <t xml:space="preserve">Verify that the disable parking bay is available </t>
  </si>
  <si>
    <t xml:space="preserve">Is the parking area disclaimer notice visible </t>
  </si>
  <si>
    <t xml:space="preserve">Confirm that the parking bay disclaimer shows that no hawkers are allowed, no guns on site, no smoking, no skating, no camera allowed </t>
  </si>
  <si>
    <t>Is the parking area clean</t>
  </si>
  <si>
    <t>Parking area must have  no evidence of litter; and be clean.</t>
  </si>
  <si>
    <t>There should be no persons disrupting customers by "beging"</t>
  </si>
  <si>
    <t xml:space="preserve">Verify that car guards are identifiable by their uniform </t>
  </si>
  <si>
    <t xml:space="preserve">There should be no trolleys parked outside the trolley bay, and trolleys are regularly colectedfrom the parking area </t>
  </si>
  <si>
    <t>SPAR2U: Check the following: Is the asset retailer owned, if so, the below is applicable. If its an outsourced asset, the below is marked but not scored.</t>
  </si>
  <si>
    <t>Does the store have a designated driver parking area and waiting area, which is branded as per SPAR approved specification</t>
  </si>
  <si>
    <t>Verify that the store has a designated area for the SPAR 2U vechile</t>
  </si>
  <si>
    <t>Check that the SPAR2U delivery vehicles are branded as per SPAR approved specification</t>
  </si>
  <si>
    <t xml:space="preserve"> Verify that the SPAR2U delivery vehicles are branded as per SPAR approved specification</t>
  </si>
  <si>
    <t xml:space="preserve">EXTERIOR </t>
  </si>
  <si>
    <t>BUILDING</t>
  </si>
  <si>
    <t>Exterior Building: Check the following:</t>
  </si>
  <si>
    <t>Is the exterior of the building in a good state of repair</t>
  </si>
  <si>
    <t>Score = '0' points if more than 20% of building requires painting.</t>
  </si>
  <si>
    <t>Is the exterior of the building free from clutter</t>
  </si>
  <si>
    <t xml:space="preserve"> If more than 2 windows/ doors are dirty and cluttered deviate, if applicable.  If evidence of litter/ dirt at entrance area, deviate</t>
  </si>
  <si>
    <t>STORE EXTERIOR &amp; BRAND SPECIFICATION</t>
  </si>
  <si>
    <t>FLAGS - STORE SIGNAGE - ENTRANCE GLASS FRONTS - DOORS - TRADING HOURS BOARD</t>
  </si>
  <si>
    <t>Flags: If the store has no flags, mark n/a</t>
  </si>
  <si>
    <t>Are all flags as per SPAR specification</t>
  </si>
  <si>
    <t xml:space="preserve">All the SPAR stores should have a minimum of 3 SPAR branded flags outside with the latest SPAR logo. Ask them why they don't have flags if they are not there. The only time flags may be marked NA is if they are prohibited from having them by the landlord as part of leasehold requirements please note this during the audit. </t>
  </si>
  <si>
    <t>Are all flag poles  and flags in a good state of repair</t>
  </si>
  <si>
    <t xml:space="preserve"> Score = '0' If 1 flag or more are in a bad state of repair.</t>
  </si>
  <si>
    <t xml:space="preserve">Signage: </t>
  </si>
  <si>
    <t>Are all external signage according to SPAR approved specification</t>
  </si>
  <si>
    <t xml:space="preserve">Signage must be the new SPAR signage i.e. not the SPAR with the stripes after the tree emblem. Signs are normally made of moulded Perspex and must be in good condition. Externally must have at least 1 moulded Nitec or Flex face sign. Score = '3' Points for the Primary Moulded/3 D Nitec and/ or Flex face sign above the entrance; Score = '2' Point for all other Secondary signage in spec if applicable. This includes store trading times, disclaimer boards etc. </t>
  </si>
  <si>
    <t>Is the external signage in a good state of repair</t>
  </si>
  <si>
    <t>External glass fronts: Check the following:</t>
  </si>
  <si>
    <t>Check that only SPAR branding is visible on all entrance glass fronts - as per SPAR approved specification</t>
  </si>
  <si>
    <t xml:space="preserve">SPAR Signage must comply to the SPAR CI requirements </t>
  </si>
  <si>
    <t>Are all windows in a good state of repair</t>
  </si>
  <si>
    <t xml:space="preserve">Visually check that the glass/ windows are not damaged. </t>
  </si>
  <si>
    <t>Are all windows free from clutter</t>
  </si>
  <si>
    <t>Visually check that the glass/ windows are not cluttered with  paper or advertisements</t>
  </si>
  <si>
    <t>Promotions:</t>
  </si>
  <si>
    <t xml:space="preserve">Are the promotional poster frames clean and in a good state of repair </t>
  </si>
  <si>
    <t xml:space="preserve">Visually check that the promotional poster frames are not damaged. </t>
  </si>
  <si>
    <t>Are the current Guild promotions including national theme posters in the frames</t>
  </si>
  <si>
    <t>Visually check that the current Guild promotions including National theme posters in the frames</t>
  </si>
  <si>
    <t>STORE ENTRANCE BRAND SPECIFICATION</t>
  </si>
  <si>
    <t>ENTRANCE &amp; EXIT DOORS - TROLLEYS - BASKETS - LEAFLET STAND - ENTRANCE MAT</t>
  </si>
  <si>
    <t>Trading hours board</t>
  </si>
  <si>
    <t>Is the trading hours board as per SPAR approved specification and visible at the entrance of the store</t>
  </si>
  <si>
    <t>Check if the trading hours board is clearly visible at the entrance of the store, The following must be displayed:
Emergency numbers
Valid liquor license number
By law liquor not sold to persons under the age of 18 years
Keys to safe not held on site
Right of admission reserved
Pets signage</t>
  </si>
  <si>
    <t>Entrance &amp; exit doors:</t>
  </si>
  <si>
    <t>Check that only SPAR approved branding is visible on the entrance and exit doors</t>
  </si>
  <si>
    <t>Visually verify SPAR approved branding is visible on the entrance and exit doors SPAR approved branding is visible on the entrance and exit doors.</t>
  </si>
  <si>
    <t>Are the entrance doors in a good state of repair</t>
  </si>
  <si>
    <t xml:space="preserve">Visually check that the entrance doors are not damaged. </t>
  </si>
  <si>
    <t>Are the entrance doors free from clutter</t>
  </si>
  <si>
    <t>Visually check that  the entrance doors free from clutter and litter.</t>
  </si>
  <si>
    <t>Entrance mat: If the store has no entrance mat mark N/A</t>
  </si>
  <si>
    <t xml:space="preserve">Is there an un-branded mat at the entrance of the store. </t>
  </si>
  <si>
    <t>Visually check that the enterance mat to the store is not SPAR branded.</t>
  </si>
  <si>
    <t>Is the un-branded mat in a good state of repair</t>
  </si>
  <si>
    <t>Visually check that the mat is not noticeably damaged</t>
  </si>
  <si>
    <t>Trolleys: Check the following:</t>
  </si>
  <si>
    <t>Is there a clearly demarcated trolley area at the entrance of the store</t>
  </si>
  <si>
    <t>Confirm that there is a clearly demarcated area for trolleys.</t>
  </si>
  <si>
    <t>Are trolleys according to SPAR approved specification</t>
  </si>
  <si>
    <t>Generally, the trolleys are red with a SPAR logo.</t>
  </si>
  <si>
    <t>Are there a sufficient amount of trolleys at the entrance of the store at the time of the audit</t>
  </si>
  <si>
    <t>Verify that there are a sufficient number of trolleys at the entrance for customer use</t>
  </si>
  <si>
    <t>Are the trolleys in a good state of repair</t>
  </si>
  <si>
    <t>Visually check that the trolleys are not noticeably damaged.</t>
  </si>
  <si>
    <t>e</t>
  </si>
  <si>
    <t>Are the trolleys clean</t>
  </si>
  <si>
    <t>Visually check that the trolleys are free from rubbish and is not dirty.</t>
  </si>
  <si>
    <t>Baskets: Check the following:</t>
  </si>
  <si>
    <t>Is there a clearly demarcated basket area at the entrance of the store</t>
  </si>
  <si>
    <t>Confirm that there is a clearly demarcated area for baskets.</t>
  </si>
  <si>
    <t>Are baskets according to SPAR approved specification</t>
  </si>
  <si>
    <t>Generally, the baskets are red with a SPAR logo.</t>
  </si>
  <si>
    <t>Are there a sufficient amount of baskets at the entrance of the store at the time of the audit</t>
  </si>
  <si>
    <t>Verify that there are a sufficient number of baskets at the entrance for customer use</t>
  </si>
  <si>
    <t>Are the baskets in a good state of repair</t>
  </si>
  <si>
    <t>Visually check that the baskets are not noticeably damaged.</t>
  </si>
  <si>
    <t>Are the baskets clean</t>
  </si>
  <si>
    <t>Visually check that the baskets are free from rubbish and is not dirty.</t>
  </si>
  <si>
    <t>Leaflet stand: Check the following:</t>
  </si>
  <si>
    <t>Is there a leaflet stand at the entrance of the store</t>
  </si>
  <si>
    <t>Confirm that there is a leaflet stand at the entrance of the store.</t>
  </si>
  <si>
    <t>Does the leaflet stand have available current leaflets displayed in it</t>
  </si>
  <si>
    <t>Confirm that the leaflet stand has the current leaflets available.</t>
  </si>
  <si>
    <t>Is the leaflet stand clean and in a good state of repair</t>
  </si>
  <si>
    <t>Visually check that the leaflet stands are not noticeably damaged.</t>
  </si>
  <si>
    <t>STORE ENTRANCE</t>
  </si>
  <si>
    <t>PARCEL COUNTER</t>
  </si>
  <si>
    <t>Does the store have a parcel counter, if yes, check the following:</t>
  </si>
  <si>
    <t>Is the parcel counter in a good state of repair &amp; clean</t>
  </si>
  <si>
    <t xml:space="preserve">Visually check that the parcel counters are not noticeably damaged and are clean. </t>
  </si>
  <si>
    <t xml:space="preserve">Is the parcel counter clear from clutter </t>
  </si>
  <si>
    <t>Visually check that the parcel counter free from clutter and litter.</t>
  </si>
  <si>
    <t>Is there a visible parcel counter disclaimer in view of customers</t>
  </si>
  <si>
    <t xml:space="preserve">A disclaimer should be available for customers to read regarding the storage of the customers parcels </t>
  </si>
  <si>
    <t>INTERIOR BRAND SPECIFICATION</t>
  </si>
  <si>
    <t>INTERIOR SIGNAGE - MANAGERS PODIUM</t>
  </si>
  <si>
    <t>Internal SPAR branding - Check the following:</t>
  </si>
  <si>
    <t>Does the store have the minimum amount of SPAR  approved signage required and as per specification</t>
  </si>
  <si>
    <t>SaveMor- 2 signs. SPAR Express- 2 signs, KWICKSPAR- 4 signs, SPAR- 5 signs, SUPERSPAR- 6 signs.</t>
  </si>
  <si>
    <t>Are all internal signage in a good state of repair</t>
  </si>
  <si>
    <t xml:space="preserve">Signage should not be damaged. </t>
  </si>
  <si>
    <t xml:space="preserve">Store Lighting - Are all lights in good state of repair and in working condition. </t>
  </si>
  <si>
    <t>Produce</t>
  </si>
  <si>
    <t xml:space="preserve">Verify that the lighting is working and that there are no damaged lights. </t>
  </si>
  <si>
    <t>Bakery</t>
  </si>
  <si>
    <t>Butchery</t>
  </si>
  <si>
    <t>HMR / Deli / Food Stall</t>
  </si>
  <si>
    <t>The centre aisle of the dry goods area</t>
  </si>
  <si>
    <t>Are the following offices clean and free from clutter - if on the sales floor</t>
  </si>
  <si>
    <t>Managers podium</t>
  </si>
  <si>
    <t>Visually check that the area is free from rubbish and is not dirty and is tidy.</t>
  </si>
  <si>
    <t>Admin office / GRV office</t>
  </si>
  <si>
    <t>SPAR2U: Check the following:</t>
  </si>
  <si>
    <t>Check that the store has an in-store designated SPAR2U driver collection area, which is branded as per SPAR approved specification</t>
  </si>
  <si>
    <t>Confirm that the area is available, if SPAR 2U is not available at the store, mark as N/A</t>
  </si>
  <si>
    <t>Check that the store has a SPAR2U staging area, which is branded as per SPAR approved specification</t>
  </si>
  <si>
    <t xml:space="preserve">INTERIOR </t>
  </si>
  <si>
    <t>BRANDED PAYZONE - KIOSK</t>
  </si>
  <si>
    <t>Does the store have a dedicated branded PAYZONE area, if yes, check the following</t>
  </si>
  <si>
    <t>The payzone signage is either full black, full red, or black and red and may contain the SPAR logo</t>
  </si>
  <si>
    <t>Is the PAYZONE signage as per SPAR approved specification</t>
  </si>
  <si>
    <t>Verify that the signs is not damaged.</t>
  </si>
  <si>
    <t>Is the PAYZONE signage in a good state of repair</t>
  </si>
  <si>
    <t>Verify that the sign sales prohibit persons under the age of 18 (Cigarettes)</t>
  </si>
  <si>
    <t>Is there a visible sign - Sales prohibited to persons under the age of 18 (Cigarettes)</t>
  </si>
  <si>
    <t>Verify that the sign sales prohibit persons under the age of 18 (Lotto)</t>
  </si>
  <si>
    <t>Does the store offer Lotto, if yes - Is there a visible sign showing that sales prohibited to persons under the age of 18</t>
  </si>
  <si>
    <t>Is the kiosk in a good state of repair and tidy during the the audit</t>
  </si>
  <si>
    <t>Service - Staff and Supervisor</t>
  </si>
  <si>
    <t xml:space="preserve">Verify that there is sufficient staff to service customers during the audit. </t>
  </si>
  <si>
    <t xml:space="preserve">Is there sufficient staff to service customers during the audit. </t>
  </si>
  <si>
    <t>Are all cashiers in SPAR spec uniform with a visible name badge</t>
  </si>
  <si>
    <t>INTERIOR FRONT END</t>
  </si>
  <si>
    <t>CHECK OUTS  - MERCHANDISING - SPAR REWARDS - CASHIERS - SUPERVISORS</t>
  </si>
  <si>
    <t>Equipment - Check the following</t>
  </si>
  <si>
    <t>Are all checkouts in a good state of repair</t>
  </si>
  <si>
    <t xml:space="preserve">Visually check that all the checkout stations are not damaged. </t>
  </si>
  <si>
    <t>Does the store have express checkouts, if yes, are express checkout/s clearly indicated by signage and minimum quantity allowed</t>
  </si>
  <si>
    <t>Check if  the store have express checkouts, if yes, are express checkout/s clearly indicated by signage and minimum quantity allowed</t>
  </si>
  <si>
    <t>Does the store have communal queuing, if yes, are the checkouts clearly numbered</t>
  </si>
  <si>
    <t>Check if the store have communal queuing, if yes, are the checkouts clearly numbered</t>
  </si>
  <si>
    <t>Are checkouts free from excessive products that may inconvenience the customers experience at the check out</t>
  </si>
  <si>
    <t>Check if checkouts free from excessive products that may inconvenience the customers experience at the check out</t>
  </si>
  <si>
    <t>The following must be available at each checkout prior to trade and at change of shift, to ensure efficient management of check outs</t>
  </si>
  <si>
    <t>Do all cashiers have a dustbin, clean cloth, till sanitiser and pen</t>
  </si>
  <si>
    <t xml:space="preserve">Do all cashiers have SPAR Rewards cards available. </t>
  </si>
  <si>
    <t xml:space="preserve">Visually verify that all cashiers have SPAR Rewards cards available. </t>
  </si>
  <si>
    <t>Are all cashier chairs in a good state of repair</t>
  </si>
  <si>
    <t>Visually check that  all cashier chairs are not damaged.</t>
  </si>
  <si>
    <t>Visually check SPAR approved packaging utilised (plastic and brown paper bags)</t>
  </si>
  <si>
    <t>Customer Interaction - Observe the following:</t>
  </si>
  <si>
    <t>Do all cashiers greet customers before commencing the transaction</t>
  </si>
  <si>
    <t>Verify through observation and if this is not occuring, inform accompaning person.</t>
  </si>
  <si>
    <t>Do all cashiers thank customers when concluding a transaction</t>
  </si>
  <si>
    <t>Do all cashiers prompt for a SPAR Rewards card at the beginning or during a transaction</t>
  </si>
  <si>
    <t>If a customer does not have a SPAR Rewards card, does the cashier offer the customer a SPAR Rewards card</t>
  </si>
  <si>
    <t>Till area merchandising stands - including On The Go, Fridges and Freezers</t>
  </si>
  <si>
    <t>Is the shelving in a good state of repair</t>
  </si>
  <si>
    <t>Verify that shelving are not damaged.</t>
  </si>
  <si>
    <t>Are all fridges in a good state of repair</t>
  </si>
  <si>
    <t>Verify that fridges are not damaged.</t>
  </si>
  <si>
    <t>Are all freezers in a good state of repair</t>
  </si>
  <si>
    <t>Verify that freezers are not damaged.</t>
  </si>
  <si>
    <t>Are shelf edge strips on all units in a good state of repair</t>
  </si>
  <si>
    <t>Verify that all shelf edge strip sare not damaged.</t>
  </si>
  <si>
    <t>Do all products have corresponding shelf edge labels which are placed to the left of the product</t>
  </si>
  <si>
    <t>Verify that all labels with prices are placed towards the left of where the product on the shelf is placed.</t>
  </si>
  <si>
    <t>f</t>
  </si>
  <si>
    <t>Are shelves, fridges and freezers sufficiently stocked during the audit</t>
  </si>
  <si>
    <t>Verify that shelves are sufficiently stocked and that there are no large empty spaces</t>
  </si>
  <si>
    <t>Cashiers &amp; Supervisors: Check the following</t>
  </si>
  <si>
    <t>Are all cashiers and supervisors in SPAR spec uniform with a visible name badge</t>
  </si>
  <si>
    <t>Are casuals in SPAR T-shirts with a visible name badge</t>
  </si>
  <si>
    <t>Verify tha casual staff, iif any,  can wear the SPAR T-shirt with a name badge</t>
  </si>
  <si>
    <t>Is there an available supervisor at the time of the audit</t>
  </si>
  <si>
    <t xml:space="preserve">Indicate the supervisors name. </t>
  </si>
  <si>
    <t>INTERIOR SHOP FLOOR</t>
  </si>
  <si>
    <t>AISLE BLADES</t>
  </si>
  <si>
    <t>Does the store have aisle indicators, if yes, check the following</t>
  </si>
  <si>
    <t>Are all aisle indicators in a good state of repair</t>
  </si>
  <si>
    <t>Verify that all aisles indicators are not damaged.</t>
  </si>
  <si>
    <t>Do all aisle indicators correspond with the aisle in which it is erected</t>
  </si>
  <si>
    <t>Check that all aisle indicators correspond with the aisle in which it is erected</t>
  </si>
  <si>
    <t>IMPULSE STANDS</t>
  </si>
  <si>
    <t xml:space="preserve">Impulse Stands: Walk the floor and check the following: </t>
  </si>
  <si>
    <t>Are impulse stands in a good state of repair</t>
  </si>
  <si>
    <t xml:space="preserve">check that impulse stands are not damaged. </t>
  </si>
  <si>
    <t>Do all products merchandised on impulse stands have visible shelf edge labels which are placed to the left of the product</t>
  </si>
  <si>
    <t>Check that all products merchandised on impulse stands have visible shelf edge labels which are placed to the left of the product</t>
  </si>
  <si>
    <t>Are impulse stands well stocked during the time of the audit</t>
  </si>
  <si>
    <t>Check that all impulse stands well stocked during the time of the audit</t>
  </si>
  <si>
    <t>SHOP FLOOR</t>
  </si>
  <si>
    <t>DRY GOODS</t>
  </si>
  <si>
    <t>Dry Goods: Walk the floor and check the following:</t>
  </si>
  <si>
    <t>Are all shelves in a good state of repair</t>
  </si>
  <si>
    <t>Kick Plates: Does the store have kick plates, if yes, check the following:</t>
  </si>
  <si>
    <t>Are all kick plates in a good state of repair</t>
  </si>
  <si>
    <t>Verify that all kick plates are not damaged.</t>
  </si>
  <si>
    <t>Check that there is no dirt behind the kick plates</t>
  </si>
  <si>
    <t>If the store does not have kick plates check that there is no stock merchandised under the shelving</t>
  </si>
  <si>
    <t>Check that there is no stock merchandised on top of the shelving or racking</t>
  </si>
  <si>
    <t xml:space="preserve">Check that there is no stock merchandised on top of the shelving or racking, promotion adveritising dispays are allowed. </t>
  </si>
  <si>
    <t>Check that there is no stock sold directly from the shop floor</t>
  </si>
  <si>
    <t>Check that there is no stock merchandised on the floor</t>
  </si>
  <si>
    <t>Verify visually that there are no boxes, lugs, stock or equipment left attended or un-attended, that may cause harm to customers or staff</t>
  </si>
  <si>
    <t>Are shelf edge strips in a good state of repair</t>
  </si>
  <si>
    <t>Verify that all edge strips are not damaged.</t>
  </si>
  <si>
    <t>Verify that all products have corresponding shelf edge labels which are placed to the left of the product</t>
  </si>
  <si>
    <t>Are shelves faced up during the time of the audit</t>
  </si>
  <si>
    <t xml:space="preserve">Verify that the practice of pulling products forward to the front of the display or shelf on which they are placed is practiced. </t>
  </si>
  <si>
    <t>12.10</t>
  </si>
  <si>
    <t>Are out of stock items identified by generic out of stock point of sale</t>
  </si>
  <si>
    <t>Verify that an "out of stock"sign is visible to the customer in the case that products are sold out.</t>
  </si>
  <si>
    <t>Are new lines identified by generic I'm new point of sale</t>
  </si>
  <si>
    <t>Verify that an '' I'm new"sign is visible to the customer in the case that products are a new line in the store.</t>
  </si>
  <si>
    <t>Expired stock: spot check that there is no expired stock on shelf</t>
  </si>
  <si>
    <t>Spot check that there is no expired stock on shelf</t>
  </si>
  <si>
    <t>Damaged stock: spot check that there is no damaged stock on shelf</t>
  </si>
  <si>
    <t xml:space="preserve"> Spot check that there is no damaged stock on shelf</t>
  </si>
  <si>
    <t>Is the shop floor in this aisle clean during the time of the audit</t>
  </si>
  <si>
    <t>Check that the shop floor in this aisle clean during the time of the audit</t>
  </si>
  <si>
    <t>Promotions: Check the following using the current Guild leaflet</t>
  </si>
  <si>
    <t>Guild and national promotional point of sale are erected during the audit - A4 or stack card</t>
  </si>
  <si>
    <t>Obtain a guild and national promotional leaflet from the store and verify that the promotion is erected during the audit - A4 or stack card</t>
  </si>
  <si>
    <t>National theme point of sale erected</t>
  </si>
  <si>
    <t>Obtain a national promotional leaflet from the store and verify that the National theme point of sale is erected.</t>
  </si>
  <si>
    <t>Guild promotional and national point of sale erected in the required point of sale equipment</t>
  </si>
  <si>
    <t>Obtain a guild and national promotional leaflet from the store and verify that Guild promotional and national point of sale erected in the required point of sale equipment.</t>
  </si>
  <si>
    <t>Is the promotional equipment in a good state of repair</t>
  </si>
  <si>
    <t>Verify that the promotional equipment are not damaged.</t>
  </si>
  <si>
    <t>Shelves are sufficiently stocked for promotional items during the audit</t>
  </si>
  <si>
    <t>Verify that shelves are sufficiently stocked for promotional items during the audit</t>
  </si>
  <si>
    <t>Verify that the generic SPAR approved point of sale used for instore promotions</t>
  </si>
  <si>
    <t>Cross merchandising: Check the following</t>
  </si>
  <si>
    <t>Are cross merchandising strips are in a good state of repair</t>
  </si>
  <si>
    <t>Check that cross merchandising strips are not damaged.</t>
  </si>
  <si>
    <t>Do all products merchandised on cross merchandising strips have visible shelf edge labels</t>
  </si>
  <si>
    <t>Check that all products merchandised on cross merchandising strips have visible shelf edge labels</t>
  </si>
  <si>
    <t>Are cross merchandising strips are well stocked during the time of the audit</t>
  </si>
  <si>
    <t>Cheeck thatt all cross merchandising strips are well stocked during the time of the audit</t>
  </si>
  <si>
    <t>Merchandisers &amp; Floor Supervisors: Check the following:</t>
  </si>
  <si>
    <t>Are all merchandisers in SPAR spec uniform with a name badge</t>
  </si>
  <si>
    <t>Verify that all merchandisers in SPAR spec uniform with a name badge.</t>
  </si>
  <si>
    <t xml:space="preserve">Are supplier merchandisers in uniform with a name badge </t>
  </si>
  <si>
    <t xml:space="preserve">SHOP FLOOR </t>
  </si>
  <si>
    <t>WINE</t>
  </si>
  <si>
    <t>Wine : Walk the floor and check the following:</t>
  </si>
  <si>
    <t>Are the gondola ends in a good state of repair</t>
  </si>
  <si>
    <t>Verify that the gondola ends are not damaged.</t>
  </si>
  <si>
    <t>Is the two facing rule applied for Olive Brook and Carnival wine</t>
  </si>
  <si>
    <t>Verify if the the store carrys  Olive Brook wine and it it merchandised with a minimum of two facings</t>
  </si>
  <si>
    <t>13.10</t>
  </si>
  <si>
    <t xml:space="preserve">Expired stock: spot check that there is no expired stock on shelf </t>
  </si>
  <si>
    <t xml:space="preserve">Range: Check the following: </t>
  </si>
  <si>
    <t>Does the store carry a range of Olive Brook Wine.</t>
  </si>
  <si>
    <t xml:space="preserve">Verify if the the store carrys  Olive Brook wine </t>
  </si>
  <si>
    <t>Does the store carry a range of Carnival Boxed Wine.</t>
  </si>
  <si>
    <t>Verify if the the store carry Carnival Boxed wine</t>
  </si>
  <si>
    <t>Is the generic SPAR approved point of sale used for instore promotions</t>
  </si>
  <si>
    <t>Legislation: check the following:</t>
  </si>
  <si>
    <t>Is a valid wine license displayed in the wine area</t>
  </si>
  <si>
    <t>Check the expiration date on the liquor license to ensure it is current and has not expired. Confirm that the license details (such as the store name and address) match the store's actual information. Ensure that the license complies with local and state regulations regarding the sale of liquor.</t>
  </si>
  <si>
    <t>Are the wine trading hours displayed in the wine area</t>
  </si>
  <si>
    <t xml:space="preserve">Verify that there is a board indicating the trading hours for alcohol. </t>
  </si>
  <si>
    <t>WATER &amp; COLD REFRESHMENT FRIDGES</t>
  </si>
  <si>
    <t>Water &amp; Cold Refreshments: Walk the floor and check the following:</t>
  </si>
  <si>
    <t>Are all lights in the beverage and water fridges operational</t>
  </si>
  <si>
    <t>Are all shelves in the water and beverage fridges in a good state of repair</t>
  </si>
  <si>
    <t>Check that the base of the fridge is clean and in a good state of repair</t>
  </si>
  <si>
    <t>Check that the base of the fridge is clean and not damaged.</t>
  </si>
  <si>
    <t>Check that there is no stock sold /stored or merchandised directly from the floor / base inside of the fridge.</t>
  </si>
  <si>
    <t>Check that there is no stock merchandised on the floor in the fridge.</t>
  </si>
  <si>
    <t>Check that there is no stock merchandised on the sho floor.</t>
  </si>
  <si>
    <t>g</t>
  </si>
  <si>
    <t>h</t>
  </si>
  <si>
    <t>i</t>
  </si>
  <si>
    <t>j</t>
  </si>
  <si>
    <t>k</t>
  </si>
  <si>
    <t>l</t>
  </si>
  <si>
    <t>Expired stock: spot check that there is no expired stock in the fridges</t>
  </si>
  <si>
    <t>m</t>
  </si>
  <si>
    <t xml:space="preserve">n </t>
  </si>
  <si>
    <t>Is the shop floor in this aisle/area clean during the time of the audit</t>
  </si>
  <si>
    <t>Are cross merchandising strips well stocked during the time of the audit</t>
  </si>
  <si>
    <t>Beverage coolers back up (on the shop floor): Check the following:</t>
  </si>
  <si>
    <t>Spot check that there is no expired stock</t>
  </si>
  <si>
    <t>Spot check that there is no damaged stock</t>
  </si>
  <si>
    <t xml:space="preserve">Check that fans, ceilings, walls and floors are clean </t>
  </si>
  <si>
    <t>Verify that the fans, ceiling, walls and flors are clean- no dirt or spillage noted</t>
  </si>
  <si>
    <t>Check that damaged and expired stock are segregated from saleable stock. There is a visible waste and damage sign displayed above the stock</t>
  </si>
  <si>
    <t>PERISHABLES</t>
  </si>
  <si>
    <t>Perishables: Walk the floor and check the following:</t>
  </si>
  <si>
    <t>Are all lights in the perishable fridges fridges operational</t>
  </si>
  <si>
    <t>Check that there is no stock merchandised on the floor.</t>
  </si>
  <si>
    <t>Check that the kick plates are in a good state of repair</t>
  </si>
  <si>
    <t>o</t>
  </si>
  <si>
    <t>Are cross merchandising strips/equipment in a good state of repair</t>
  </si>
  <si>
    <t>Do all products merchandised on cross merchandising strips/equipment have visible shelf edge labels</t>
  </si>
  <si>
    <t>Are cross merchandising strips/equipment well stocked during the time of the audit</t>
  </si>
  <si>
    <t>FROZENS</t>
  </si>
  <si>
    <t>Frozens: Walk the floor and check the following:</t>
  </si>
  <si>
    <t>Are all lights in the freezers (upright and/or island) operational</t>
  </si>
  <si>
    <t>Check that the freezer is free from ice build up</t>
  </si>
  <si>
    <t>Check that there is no ice build up.</t>
  </si>
  <si>
    <t>Expired stock: spot check that there is no expired stock in the freezers</t>
  </si>
  <si>
    <t>SHOP FLOOR - PROMOTIONAL EXECUTION</t>
  </si>
  <si>
    <t xml:space="preserve">FRONT &amp; BACK GONDOLA ENDS </t>
  </si>
  <si>
    <t>FRONT Gondola Ends: Walk the floor and check the following:</t>
  </si>
  <si>
    <t xml:space="preserve">SUPERSPAR &amp; SPAR: Does the store meet the requirement of a minimum of 50% front gondola ends that are available, used for SPAR Guild and National promotions. </t>
  </si>
  <si>
    <t xml:space="preserve">Requirement to be met as per store type, select N/A if this store type is not beng audited. </t>
  </si>
  <si>
    <t>KWIKSPAR: Does the store meet the requirment of ONE front gondola end used for SPAR Guild and National promotions.</t>
  </si>
  <si>
    <t>SUPERSPAR, SPAR &amp; KWIKSPAR:  Does the store meet the requirment of ONE front gondola end used for SPAR brands</t>
  </si>
  <si>
    <t>SUPERSPAR, SPAR, KWIKSPAR &amp; SaveMor: Is there a maximum of two Guild promotional products merchandised on all front gondola ends, excluding combo's</t>
  </si>
  <si>
    <t>Merchandising standards - Check the following for Guild &amp; NATIONAL PROMOTIONS:</t>
  </si>
  <si>
    <t>Are the gondola ends fully stocked at the time of the audit</t>
  </si>
  <si>
    <t>Ensure that the gondola end is fully stocked.</t>
  </si>
  <si>
    <t>Does the A4 point of sale correspond to the product merchandised on the gondola</t>
  </si>
  <si>
    <t>Is the Guild promotional point of sale erected in the required point of sale equipment</t>
  </si>
  <si>
    <t>Is the promotional equipment clean and in a good state of repair</t>
  </si>
  <si>
    <t>BACK Gondola Ends: Walk the floor and check the following:</t>
  </si>
  <si>
    <t xml:space="preserve">SUPERSPAR &amp; SPAR: Does the store meet the requirement of 50% back gondola ends that are available, used for SPAR Guild and National promotions. </t>
  </si>
  <si>
    <t>KWIKSPAR: Does the store meet the requirment of ONE back gondola end used for SPAR Guild and National promotions.</t>
  </si>
  <si>
    <t>SUPERSPAR, SPAR &amp; KWIKSPAR:  Does the store meet the requirment of ONE back gondola end used for SPAR brands</t>
  </si>
  <si>
    <t>SUPERSPAR, SPAR, KWIKSPAR &amp; SaveMor: Is there a maximum of two Guild promotional products merchandised on all back gondola ends, excluding combo's</t>
  </si>
  <si>
    <t>Does the point of sale above the gondola correspond with the product/s merchandised on the gondola</t>
  </si>
  <si>
    <t>Verify that the point of sale above the gondola correspond with the product/s merchandised on the gondola</t>
  </si>
  <si>
    <t>PRODUCE - FRONT OF HOUSE</t>
  </si>
  <si>
    <t>Signage</t>
  </si>
  <si>
    <t>Is the Produce signage in a good state of repair</t>
  </si>
  <si>
    <t xml:space="preserve">Verify that the signage is not damaged. </t>
  </si>
  <si>
    <t>Equipment</t>
  </si>
  <si>
    <t>Are all fridges in a good state of repair (Upright &amp; Display)</t>
  </si>
  <si>
    <t>Check that all fridges are not damaged. (Upright &amp; Display)</t>
  </si>
  <si>
    <t>Are the fridges clean behind the kick plates</t>
  </si>
  <si>
    <t>Check that there is no dirt in the fridge.</t>
  </si>
  <si>
    <t>Are all lights in the Produce fridges operational (Upright &amp; display)</t>
  </si>
  <si>
    <t>Are the produce boats clean and in a good state of repair</t>
  </si>
  <si>
    <t xml:space="preserve">Verify that the produce boats are clean and that there are no damaged. </t>
  </si>
  <si>
    <t>Scale Area</t>
  </si>
  <si>
    <t>Check that there is there an available, operational scale in the Produce area</t>
  </si>
  <si>
    <t>Check that the scale is free from scale labels stuck on the actual scale</t>
  </si>
  <si>
    <t>Verify that the scale is clean, not labels stuck and no clutter.</t>
  </si>
  <si>
    <t>Is there an availble staff member is close proximity to assist customers</t>
  </si>
  <si>
    <t>Verify that there an availble staff member is close proximity to assist customers</t>
  </si>
  <si>
    <t>Packaging</t>
  </si>
  <si>
    <t xml:space="preserve">Are SPAR approved scale labels been used (as per SPAR specification) (Stick well &amp; brand spec) </t>
  </si>
  <si>
    <t>Verify that  SPAR approved scale labels been used (as per SPAR specification) (Stick well &amp; brand spec). SPAR logo, SPAR store name, product description, pricing information, packed date information, product code and store address to appear on label</t>
  </si>
  <si>
    <t>Merchandising Standards &amp; Range - Check the following:</t>
  </si>
  <si>
    <t>Are all products in the fridge labelled -  shelf edge labels or individual scale labels with pricing</t>
  </si>
  <si>
    <t>Check that all products in the fridge labelled -  shelf edge labels or individual scale labels with pricing.</t>
  </si>
  <si>
    <t>Are the fridges adequately stocked and faced up at the time of the audit</t>
  </si>
  <si>
    <t xml:space="preserve">Verify that fridges are adequately stocked. </t>
  </si>
  <si>
    <t>Are all products in the produce boats visibly priced</t>
  </si>
  <si>
    <t>Verify that all products in the produce boats visibly priced</t>
  </si>
  <si>
    <t>Are the produce boats adequately stocked and faced up at the time of the audit</t>
  </si>
  <si>
    <t xml:space="preserve">Verify that the produce boats, practice of pulling products forward to the front of the display or shelf on which they are placed is practiced. </t>
  </si>
  <si>
    <t>Are the descriptive labels in a good state of repair (If applicable)</t>
  </si>
  <si>
    <t>Verify that the descriptive labels in a good state of repair (If applicable)</t>
  </si>
  <si>
    <t xml:space="preserve">Customer view: Is there any product that looks poor in quality, visible evidence. </t>
  </si>
  <si>
    <t>Check that there are no products that are not appealling to purchase due to damage or poor "looking'</t>
  </si>
  <si>
    <t>Guild Promotions &amp; SPAR Rewards - Check the following:</t>
  </si>
  <si>
    <t>Are SPAR Guild &amp; National promotional products available and clearly identifiable by promotional point of sale (A4 or stack card)</t>
  </si>
  <si>
    <t>Check that the generic SPAR approved point of sale used for instore promotions</t>
  </si>
  <si>
    <t>Guild promotional point of sale erected in the required point of sale equipment</t>
  </si>
  <si>
    <t>Check the following:</t>
  </si>
  <si>
    <t>Are the "double your money" back guarantee boards in place</t>
  </si>
  <si>
    <t>Check that the  "double your money" boards are up.</t>
  </si>
  <si>
    <t>Service - Produce Staff and Supervisor</t>
  </si>
  <si>
    <t>Are staff members in SPAR spec uniform with a name badge</t>
  </si>
  <si>
    <t>Verify that the staff member is in SPAR spec uniform with a name badge.</t>
  </si>
  <si>
    <t>SHOP FLOOR - FRONT OF HOUSE</t>
  </si>
  <si>
    <t>Is the Bakery signage in a good state of repair</t>
  </si>
  <si>
    <t>Are all lights in the Bakery fridges operational (Upright &amp; display)</t>
  </si>
  <si>
    <t>Scale Area and Bread Cutter</t>
  </si>
  <si>
    <t>Verify that there an availble staff member is close proximity to assist customers.</t>
  </si>
  <si>
    <t>Check that the bread cutter is available, clean and not damaged.</t>
  </si>
  <si>
    <t>Are SPAR approved scale labels been used (as per SPAR specification)</t>
  </si>
  <si>
    <t>Is SPAR approved packaging used for pies (Food stall / Mc Coy)</t>
  </si>
  <si>
    <t xml:space="preserve">Verify that the Food stall and McCoy pie packets are avilable at the pie station. </t>
  </si>
  <si>
    <t>Verify that that the pie price label is available.</t>
  </si>
  <si>
    <t>Are products merchandised on bakery tables have descriptive labels and pricing</t>
  </si>
  <si>
    <t>Verify that the products have labels that identify the product and contains the price</t>
  </si>
  <si>
    <t>Are the bakery tables adequately stocked and faced up at the time of the audit</t>
  </si>
  <si>
    <t>Verify that the tables with the products are sufficiently stocked and faced up.</t>
  </si>
  <si>
    <t>Are the descriptive labels in a good state of repair</t>
  </si>
  <si>
    <t>Check that there are no products that are not appealling to purchase. Eg: black bananas, damaged fruit</t>
  </si>
  <si>
    <t>Are SPAR Guild &amp; national promotional products available and clearly identifiable by promotional point of sale (A4 or stack card)</t>
  </si>
  <si>
    <t>Bakery Staff and Supervisor</t>
  </si>
  <si>
    <t>SHOP FLOOR  - FRONT OF HOUSE</t>
  </si>
  <si>
    <t>BUTCHERY</t>
  </si>
  <si>
    <t>Is the Butchery signage in a good state of repair</t>
  </si>
  <si>
    <t>Are all fridges in a good state of repair. (Upright &amp; Display)</t>
  </si>
  <si>
    <t>Check that there is no dirt behind in the fridge.</t>
  </si>
  <si>
    <t>Are all lights in the Butchery fridges operational (Upright &amp; display)</t>
  </si>
  <si>
    <t xml:space="preserve">Scale Area </t>
  </si>
  <si>
    <t>Check that there is there an available, operational scale in the area</t>
  </si>
  <si>
    <t>Is there an availble staff member is close proximity to assist customers - gourmet counter &amp; biltong counter</t>
  </si>
  <si>
    <t>Are SPAR approved scale labels in use (as per SPAR specification)</t>
  </si>
  <si>
    <t>Is SPAR approved species labels in use</t>
  </si>
  <si>
    <t xml:space="preserve">Verify that the labels indicate the type of meat product being sold.  </t>
  </si>
  <si>
    <t>Are all products in the fridge (Upright &amp; Display) labelled -  shelf edge labels or individual scale labels with pricing</t>
  </si>
  <si>
    <t>Are the fresh meat, upright fridges, gourmet counters &amp; biltong counters adequately stocked and replenished throughout the day</t>
  </si>
  <si>
    <t xml:space="preserve">Verify that the labels are not damaged and are readable. </t>
  </si>
  <si>
    <t>Butchery Staff and Supervisor</t>
  </si>
  <si>
    <t>H.M.R. - DELI</t>
  </si>
  <si>
    <t>Does the store have the Food Stall concept: If yes, is the signage in as per SPAR approved specification and in good state of repair</t>
  </si>
  <si>
    <t xml:space="preserve">Verify that the signage is not damaged, select as applicable. </t>
  </si>
  <si>
    <t>If no, is the H.M.R. signage in a good state of repair</t>
  </si>
  <si>
    <t>Are all display units (Hot or Cold) in a good state of repair</t>
  </si>
  <si>
    <t xml:space="preserve">Check that all the units are not damaged. </t>
  </si>
  <si>
    <t>Are all lights in the HMR / Deli counters operational</t>
  </si>
  <si>
    <t>Is SPAR approved Foodstall packaging in use</t>
  </si>
  <si>
    <t>Merchandising standards - HOT COUNTERS - COLD COUNTERS - Check the following:</t>
  </si>
  <si>
    <t>Do all products in the display counters HOT / COLD Counter have descriptive labels with pricing</t>
  </si>
  <si>
    <t>Check that all products are labelled -  shelf edge labels or individual scale labels with pricing.</t>
  </si>
  <si>
    <t>Are the HOT / COLD COUNTER display units adequately stocked and replenished during the time of the audit</t>
  </si>
  <si>
    <t xml:space="preserve">Verify that the unit/ counter are adequately stocked. </t>
  </si>
  <si>
    <t>H.M.R. Staff and Supervisor</t>
  </si>
  <si>
    <t>CHIKKA CHICKEN</t>
  </si>
  <si>
    <t>Does the store have the Chikka Chicken concept: If yes, is the signage in as per SPAR approved specification and in good state of repair</t>
  </si>
  <si>
    <t>Product</t>
  </si>
  <si>
    <t xml:space="preserve">Is the Chikka Chicken product purchased only from approved Chikka Chicken suppliers. </t>
  </si>
  <si>
    <t>Confirm that the chicken is being purchased from the SPAR DC via an invoice.</t>
  </si>
  <si>
    <t xml:space="preserve">Check that all fridges are not damaged. </t>
  </si>
  <si>
    <t>Are the kick plates in a good state of repair</t>
  </si>
  <si>
    <t>Are the display units clean behind the kick plates</t>
  </si>
  <si>
    <t>Check that there is no dirt behind the kick plate.</t>
  </si>
  <si>
    <t>Are all lights in the counters operational</t>
  </si>
  <si>
    <t>Is SPAR approved Chikka Chicken packaging used</t>
  </si>
  <si>
    <t xml:space="preserve">The packaging for Chikka Chicken must be used which are generally orange boxes. </t>
  </si>
  <si>
    <t>Are the HOT / COLD COUNTER (Baine Maries) display units adequately stocked and replenished during the time of the audit</t>
  </si>
  <si>
    <t xml:space="preserve">Service - Chikka Chicken Staff </t>
  </si>
  <si>
    <t>BEAN TREE</t>
  </si>
  <si>
    <t>Branding</t>
  </si>
  <si>
    <t>Does the store have a branded Bean Tree concept: If yes, is the signage as per SPAR approved specification and in good state of repair</t>
  </si>
  <si>
    <t xml:space="preserve">Does the store sell only Lavazza Coffee, </t>
  </si>
  <si>
    <t>if no: deviate for the entire section</t>
  </si>
  <si>
    <t>Is the Bean Tree coffee menu board up</t>
  </si>
  <si>
    <t>Check that the Bean Tree coffee menu board up</t>
  </si>
  <si>
    <t>Does the store have a certified barista - certificate on file</t>
  </si>
  <si>
    <t>Check the Barista's certificate on file and recod the certificate number and name.</t>
  </si>
  <si>
    <t>Are Bean Tree takeaway coffee cups in use</t>
  </si>
  <si>
    <t xml:space="preserve"> Verify Bean Tree takeaway coffee cups in use</t>
  </si>
  <si>
    <t>Are there takeaway coffee lids, stirrers, sugar and serviettes available</t>
  </si>
  <si>
    <t>Verify that there takeaway coffee lids, stirrers, sugar and serviettes available</t>
  </si>
  <si>
    <t>Bean Tree Restaurant: Check the following:</t>
  </si>
  <si>
    <t>Are the sit down hot beverages served in a Lavazza branded cup and saucer</t>
  </si>
  <si>
    <t xml:space="preserve">Verify that Lavazza-branded cups are used with a saucer for sit down. </t>
  </si>
  <si>
    <t>Are tables and chairs clean and in a good state of repair</t>
  </si>
  <si>
    <t>Verify that that the sit down table and chairs are clean and not damaged.</t>
  </si>
  <si>
    <t>Do tables have menu's that are presentable</t>
  </si>
  <si>
    <t>Check that menu's are availabe at the tables.</t>
  </si>
  <si>
    <t>Do tables have menu talkers displaying the latest marketing campaign or Guild promotions</t>
  </si>
  <si>
    <t>Check tthat the tables have the  menu talkers</t>
  </si>
  <si>
    <t>Are table condiments available and clean</t>
  </si>
  <si>
    <t>Do staff have the relevant stationery on hand (pens and note pads)</t>
  </si>
  <si>
    <t>Are all equipment operational and in a good state of repair</t>
  </si>
  <si>
    <t xml:space="preserve">Check that coffee machine is functional are not damaged. </t>
  </si>
  <si>
    <t>Are all lights in the display counters operational</t>
  </si>
  <si>
    <t>Service - Bean Tree</t>
  </si>
  <si>
    <t>Are there adequate staff members available to serve customers</t>
  </si>
  <si>
    <t>Are staff members in SPAR spec Bean Tree uniform with a name badge</t>
  </si>
  <si>
    <t>INTERIOR</t>
  </si>
  <si>
    <t>STAFF CANTEEN</t>
  </si>
  <si>
    <t>Staff canteen - Should a canteen not be available, score 0 for the entire section</t>
  </si>
  <si>
    <t>Are the tables and chairs clean and in a good state of repair</t>
  </si>
  <si>
    <t>Check the tables and chairs clean and inot damaged.</t>
  </si>
  <si>
    <t>Is there a kettle or urn and microwave available for staff to use</t>
  </si>
  <si>
    <t xml:space="preserve">Check that there is a kettle and microwave available for staff. </t>
  </si>
  <si>
    <t>Is the canteen neat &amp; tidy</t>
  </si>
  <si>
    <t>Check that the canteen is clean and no clutter around.</t>
  </si>
  <si>
    <t>BACK UP AREAS</t>
  </si>
  <si>
    <t>BACK UP FRIDGES - STORE ROOM - RECEIVING</t>
  </si>
  <si>
    <t>Store room - check the following:</t>
  </si>
  <si>
    <t>Check that the stock is merchandised neatly</t>
  </si>
  <si>
    <t xml:space="preserve">Check that stock is packed neatly </t>
  </si>
  <si>
    <t>Is there a visible system to manage loose stock</t>
  </si>
  <si>
    <t>Verify that there is a system in place to manage loose stock</t>
  </si>
  <si>
    <t>Check that stock is stored on shelving and/or pallets</t>
  </si>
  <si>
    <t xml:space="preserve">Confirm that there is no stock directly on the floor. </t>
  </si>
  <si>
    <t>Check that damaged stock is stored separately from saleable stock &amp; clearly demarcated</t>
  </si>
  <si>
    <t>Check that damaged stock is demarcated.</t>
  </si>
  <si>
    <t>Check that expired stock is stored separately from saleable stock &amp; clearly demarcated</t>
  </si>
  <si>
    <t>Check that expired stock is demarcated.</t>
  </si>
  <si>
    <t>Check that shelving is in a good state of repair and free from rust</t>
  </si>
  <si>
    <t xml:space="preserve">Check that shelves are not damaged and not rusted. </t>
  </si>
  <si>
    <t>Water &amp; Cold Refreshments Back Up Store Rooms / Coolers</t>
  </si>
  <si>
    <t>Check that fans, ceilings, walls and floors are clean</t>
  </si>
  <si>
    <t>Check that damaged and expired stock are segregated from saleable stock. There is a visible expired and damage sign displayed above the stock</t>
  </si>
  <si>
    <t>Check that the Expired sign and damaged sign is clearly visible.</t>
  </si>
  <si>
    <t>Perishable coolers back up: Check the following:</t>
  </si>
  <si>
    <t>Check that back up stock is not stored directly on the floor</t>
  </si>
  <si>
    <t>Check that there is no expired stock merchandised with saleable stock and that the expired stock is clearly demarcated</t>
  </si>
  <si>
    <t>Check that there is no damaged stock merchandised with saleable stock and that the damaged stock is clearly demarcated</t>
  </si>
  <si>
    <t>Freezers - Back Up: Check the following:</t>
  </si>
  <si>
    <t>Check that there is no visible build up of ice in the back up freezer/s</t>
  </si>
  <si>
    <t>Receiving - check the following</t>
  </si>
  <si>
    <t xml:space="preserve">Check that there is a GRV book in place </t>
  </si>
  <si>
    <t>"Goods Received Voucher" book. This is a record-keeping tool used to document the receipt of goods into the store. It typically includes details such as the date of receipt, the supplier, the quantity and description of the goods received, and any discrepancies between the order and the delivery. This helps in maintaining accurate inventory records and ensuring that the store has received the correct items in the correct quantities.</t>
  </si>
  <si>
    <t>Check that the store stamp is locked away when not in use</t>
  </si>
  <si>
    <t xml:space="preserve">Check that the store stamp is locked away when not in use, be aware that the stamp may not be locked away in a busy receiving period. </t>
  </si>
  <si>
    <t>Check that expired supplier stock is not excessive and clearly stored per supplier indicated by signage (supplier name)</t>
  </si>
  <si>
    <r>
      <t xml:space="preserve">Check that </t>
    </r>
    <r>
      <rPr>
        <b/>
        <sz val="10"/>
        <color theme="1"/>
        <rFont val="Calibri"/>
        <family val="2"/>
      </rPr>
      <t>expired</t>
    </r>
    <r>
      <rPr>
        <sz val="10"/>
        <color theme="1"/>
        <rFont val="Calibri"/>
        <family val="2"/>
      </rPr>
      <t xml:space="preserve"> supplier stock is not excessive and clearly stored per supplier indicated by signage (supplier name)</t>
    </r>
  </si>
  <si>
    <t>Check that damaged supplier stock is not excessive and clearly stored per supplier indicated by signage (supplier name)</t>
  </si>
  <si>
    <r>
      <t xml:space="preserve">Check that </t>
    </r>
    <r>
      <rPr>
        <b/>
        <sz val="10"/>
        <color theme="1"/>
        <rFont val="Calibri"/>
        <family val="2"/>
      </rPr>
      <t>damaged</t>
    </r>
    <r>
      <rPr>
        <sz val="10"/>
        <color theme="1"/>
        <rFont val="Calibri"/>
        <family val="2"/>
      </rPr>
      <t xml:space="preserve"> supplier stock is not excessive and clearly stored per supplier indicated by signage (supplier name)</t>
    </r>
  </si>
  <si>
    <t>Check that there is a waste control system in place. Checked by security or the Store Manager</t>
  </si>
  <si>
    <t>Confirm through documentation that the waste contro system is being checked</t>
  </si>
  <si>
    <t>Check that the merchandising trolleys are in a good state of repair</t>
  </si>
  <si>
    <t>Check that the merchandising trolleys are not damaged</t>
  </si>
  <si>
    <t>Check that customer trolleys are not used for merchandising purposes</t>
  </si>
  <si>
    <t xml:space="preserve">Verify that customer trolly are not in use. </t>
  </si>
  <si>
    <t>Check that un-used equipment is stored separately from stock</t>
  </si>
  <si>
    <t>Receiving Yard  - if no yard - score N/A- check the following:</t>
  </si>
  <si>
    <t>Check that there are no excessive un-used or broken equipment and trolleys</t>
  </si>
  <si>
    <t>Check that used boxes are flattened and stored separately</t>
  </si>
  <si>
    <t>Check that the yard is clean and free from clutter and odours</t>
  </si>
  <si>
    <t>Check that there is no build up of un-collected wet and dry waste waste in the yard</t>
  </si>
  <si>
    <t>Check that there is a designated staff smoking area - which is safe and away from flammable products or receiving of stock</t>
  </si>
  <si>
    <t>MANAGEMENT</t>
  </si>
  <si>
    <t>Management - Observe the following</t>
  </si>
  <si>
    <t>Is there a visible Manager on the shop floor</t>
  </si>
  <si>
    <t>Write down the managers name</t>
  </si>
  <si>
    <t>Is the Manager dressed in SPAR uniform with a name badge</t>
  </si>
  <si>
    <t>Confirm that the manager is in uniform with a name identification</t>
  </si>
  <si>
    <t>NATIONAL FOCUSES</t>
  </si>
  <si>
    <t xml:space="preserve">E-Learning </t>
  </si>
  <si>
    <t xml:space="preserve">Does the store have a dedicated E-learning station </t>
  </si>
  <si>
    <t>Confirm that there is a dedicated E-learning station.</t>
  </si>
  <si>
    <t>Has the store completed 80% of the required modules for 100% of their staff</t>
  </si>
  <si>
    <t>Verify that the store completed 80% of the required modules for 100% of their staff</t>
  </si>
  <si>
    <t>GUESTCX</t>
  </si>
  <si>
    <t>Has the store achieved 90% participation in the current national GUESTCX</t>
  </si>
  <si>
    <t>SPAR Concepts - Indicate which of the following concepts the store has</t>
  </si>
  <si>
    <t>Value Added Services</t>
  </si>
  <si>
    <t>Confirm if the store has a payzone or other services offered to the customer, if no mark as N/A</t>
  </si>
  <si>
    <t>Lotto</t>
  </si>
  <si>
    <t>Confirm if the store has a Lotto station  offered to the customer, if no mark as N/A</t>
  </si>
  <si>
    <t>Revamps: Refer to the standard revamp classification</t>
  </si>
  <si>
    <t>If the store is not older than 36-months, mark n/a</t>
  </si>
  <si>
    <t xml:space="preserve">complusary question provide dates </t>
  </si>
  <si>
    <t>Has the store completed a major revamp in the past 7-years</t>
  </si>
  <si>
    <t>Has the store completed a minor revamp in the past 3 years</t>
  </si>
  <si>
    <t>BONUS CRITERIA</t>
  </si>
  <si>
    <t>Do cashiers advise customers of any National Campaigns that are current or up-sell any Guild promotional products</t>
  </si>
  <si>
    <t>Confirm if the cashiers up-sell through observation</t>
  </si>
  <si>
    <r>
      <t>Is the parking area clear from vagrants</t>
    </r>
    <r>
      <rPr>
        <sz val="10"/>
        <color theme="6" tint="0.39997558519241921"/>
        <rFont val="Calibri"/>
        <family val="2"/>
      </rPr>
      <t xml:space="preserve"> </t>
    </r>
  </si>
  <si>
    <r>
      <rPr>
        <b/>
        <sz val="10"/>
        <color theme="1"/>
        <rFont val="Calibri"/>
        <family val="2"/>
      </rPr>
      <t>OBSERVATION:</t>
    </r>
    <r>
      <rPr>
        <sz val="10"/>
        <color theme="1"/>
        <rFont val="Calibri"/>
        <family val="2"/>
      </rPr>
      <t xml:space="preserve"> Are car guards visibly noticeable by their attire</t>
    </r>
  </si>
  <si>
    <r>
      <rPr>
        <b/>
        <sz val="10"/>
        <color theme="1"/>
        <rFont val="Calibri"/>
        <family val="2"/>
      </rPr>
      <t>OBSERVATION:</t>
    </r>
    <r>
      <rPr>
        <sz val="10"/>
        <color theme="1"/>
        <rFont val="Calibri"/>
        <family val="2"/>
      </rPr>
      <t xml:space="preserve"> Are un-attended trolleys collected</t>
    </r>
  </si>
  <si>
    <r>
      <t>All</t>
    </r>
    <r>
      <rPr>
        <b/>
        <sz val="10"/>
        <color theme="1"/>
        <rFont val="Calibri"/>
        <family val="2"/>
      </rPr>
      <t xml:space="preserve"> cashiers and supervisors</t>
    </r>
    <r>
      <rPr>
        <sz val="10"/>
        <color theme="1"/>
        <rFont val="Calibri"/>
        <family val="2"/>
      </rPr>
      <t xml:space="preserve"> must be wearing the SPAR uniform with a name badge</t>
    </r>
  </si>
  <si>
    <r>
      <t xml:space="preserve">Visually verify that </t>
    </r>
    <r>
      <rPr>
        <b/>
        <sz val="10"/>
        <color theme="1"/>
        <rFont val="Calibri"/>
        <family val="2"/>
      </rPr>
      <t xml:space="preserve">all </t>
    </r>
    <r>
      <rPr>
        <sz val="10"/>
        <color theme="1"/>
        <rFont val="Calibri"/>
        <family val="2"/>
      </rPr>
      <t>cashiers have a dustbin, clean cloth, till sanitiser and pen</t>
    </r>
  </si>
  <si>
    <r>
      <t xml:space="preserve">Is SPAR </t>
    </r>
    <r>
      <rPr>
        <b/>
        <u/>
        <sz val="10"/>
        <rFont val="Calibri"/>
        <family val="2"/>
      </rPr>
      <t>approved</t>
    </r>
    <r>
      <rPr>
        <sz val="10"/>
        <rFont val="Calibri"/>
        <family val="2"/>
      </rPr>
      <t xml:space="preserve"> packaging utilised (plastic and brown paper bags)</t>
    </r>
  </si>
  <si>
    <r>
      <rPr>
        <b/>
        <sz val="10"/>
        <rFont val="Calibri"/>
        <family val="2"/>
      </rPr>
      <t>Observe:</t>
    </r>
    <r>
      <rPr>
        <sz val="10"/>
        <rFont val="Calibri"/>
        <family val="2"/>
      </rPr>
      <t xml:space="preserve"> Are impulse stands visible and easily accessible to avoid causing injury to customers or staff</t>
    </r>
  </si>
  <si>
    <r>
      <t xml:space="preserve">Verify that there are no </t>
    </r>
    <r>
      <rPr>
        <b/>
        <sz val="10"/>
        <color theme="1"/>
        <rFont val="Calibri"/>
        <family val="2"/>
      </rPr>
      <t>stock</t>
    </r>
    <r>
      <rPr>
        <sz val="10"/>
        <color theme="1"/>
        <rFont val="Calibri"/>
        <family val="2"/>
      </rPr>
      <t xml:space="preserve"> under the shelves if no plates are visible.</t>
    </r>
  </si>
  <si>
    <r>
      <rPr>
        <b/>
        <sz val="10"/>
        <rFont val="Calibri"/>
        <family val="2"/>
      </rPr>
      <t>Observe:</t>
    </r>
    <r>
      <rPr>
        <sz val="10"/>
        <rFont val="Calibri"/>
        <family val="2"/>
      </rPr>
      <t xml:space="preserve"> That there are no boxes, lugs, stock or equipment left attended or un-attended, that may cause harm to customers or staff</t>
    </r>
  </si>
  <si>
    <r>
      <t xml:space="preserve">Is the generic SPAR </t>
    </r>
    <r>
      <rPr>
        <b/>
        <u/>
        <sz val="10"/>
        <rFont val="Calibri"/>
        <family val="2"/>
      </rPr>
      <t>approved</t>
    </r>
    <r>
      <rPr>
        <sz val="10"/>
        <rFont val="Calibri"/>
        <family val="2"/>
      </rPr>
      <t xml:space="preserve"> point of sale used for instore promotions</t>
    </r>
  </si>
  <si>
    <r>
      <t xml:space="preserve">Verify that all </t>
    </r>
    <r>
      <rPr>
        <b/>
        <sz val="10"/>
        <color theme="1"/>
        <rFont val="Calibri"/>
        <family val="2"/>
      </rPr>
      <t>Supplier</t>
    </r>
    <r>
      <rPr>
        <sz val="10"/>
        <color theme="1"/>
        <rFont val="Calibri"/>
        <family val="2"/>
      </rPr>
      <t xml:space="preserve"> merchandisers in SPAR spec uniform with a name badge.</t>
    </r>
  </si>
  <si>
    <r>
      <t xml:space="preserve">Is the generic SPAR </t>
    </r>
    <r>
      <rPr>
        <u/>
        <sz val="10"/>
        <rFont val="Calibri"/>
        <family val="2"/>
      </rPr>
      <t>approved</t>
    </r>
    <r>
      <rPr>
        <sz val="10"/>
        <rFont val="Calibri"/>
        <family val="2"/>
      </rPr>
      <t xml:space="preserve"> point of sale used for instore promotions </t>
    </r>
  </si>
  <si>
    <r>
      <t xml:space="preserve">Scale: </t>
    </r>
    <r>
      <rPr>
        <sz val="10"/>
        <rFont val="Calibri"/>
        <family val="2"/>
      </rPr>
      <t>Is there an available, operational scale in the Produce area</t>
    </r>
  </si>
  <si>
    <r>
      <rPr>
        <b/>
        <sz val="10"/>
        <rFont val="Calibri"/>
        <family val="2"/>
      </rPr>
      <t xml:space="preserve">Range: </t>
    </r>
    <r>
      <rPr>
        <sz val="10"/>
        <rFont val="Calibri"/>
        <family val="2"/>
      </rPr>
      <t xml:space="preserve">Check that </t>
    </r>
    <r>
      <rPr>
        <b/>
        <sz val="10"/>
        <rFont val="Calibri"/>
        <family val="2"/>
      </rPr>
      <t>10 lines</t>
    </r>
    <r>
      <rPr>
        <sz val="10"/>
        <rFont val="Calibri"/>
        <family val="2"/>
      </rPr>
      <t xml:space="preserve"> from the core range are available, fully stocked and priced. </t>
    </r>
  </si>
  <si>
    <r>
      <t xml:space="preserve">Scale: </t>
    </r>
    <r>
      <rPr>
        <sz val="10"/>
        <rFont val="Calibri"/>
        <family val="2"/>
      </rPr>
      <t>Is there an available, operational scale in the Bakery are</t>
    </r>
    <r>
      <rPr>
        <b/>
        <sz val="10"/>
        <rFont val="Calibri"/>
        <family val="2"/>
      </rPr>
      <t>a</t>
    </r>
  </si>
  <si>
    <r>
      <rPr>
        <b/>
        <sz val="10"/>
        <rFont val="Calibri"/>
        <family val="2"/>
      </rPr>
      <t>Bread Cutter:</t>
    </r>
    <r>
      <rPr>
        <sz val="10"/>
        <rFont val="Calibri"/>
        <family val="2"/>
      </rPr>
      <t xml:space="preserve"> If there is an available bread cutter, check that it is in a good state of repair</t>
    </r>
  </si>
  <si>
    <r>
      <rPr>
        <b/>
        <sz val="10"/>
        <rFont val="Calibri"/>
        <family val="2"/>
      </rPr>
      <t>Pies:</t>
    </r>
    <r>
      <rPr>
        <sz val="10"/>
        <rFont val="Calibri"/>
        <family val="2"/>
      </rPr>
      <t xml:space="preserve"> Check that each pie variant is labelled with a descriptive label and pricing</t>
    </r>
  </si>
  <si>
    <r>
      <rPr>
        <b/>
        <sz val="10"/>
        <rFont val="Calibri"/>
        <family val="2"/>
      </rPr>
      <t xml:space="preserve">Range: </t>
    </r>
    <r>
      <rPr>
        <sz val="10"/>
        <rFont val="Calibri"/>
        <family val="2"/>
      </rPr>
      <t xml:space="preserve">Check that the </t>
    </r>
    <r>
      <rPr>
        <b/>
        <sz val="10"/>
        <rFont val="Calibri"/>
        <family val="2"/>
      </rPr>
      <t>10 lines</t>
    </r>
    <r>
      <rPr>
        <sz val="10"/>
        <rFont val="Calibri"/>
        <family val="2"/>
      </rPr>
      <t xml:space="preserve"> from the core range are available, fully stocked and priced. </t>
    </r>
  </si>
  <si>
    <r>
      <t xml:space="preserve">Scale: </t>
    </r>
    <r>
      <rPr>
        <sz val="10"/>
        <rFont val="Calibri"/>
        <family val="2"/>
      </rPr>
      <t>Is there an available, operational scale in the butchery area?</t>
    </r>
  </si>
  <si>
    <r>
      <t xml:space="preserve">Scale: </t>
    </r>
    <r>
      <rPr>
        <sz val="10"/>
        <rFont val="Calibri"/>
        <family val="2"/>
      </rPr>
      <t>Is there an available, operational scale in the HMR / Deli area?</t>
    </r>
  </si>
  <si>
    <r>
      <t xml:space="preserve">Scale: </t>
    </r>
    <r>
      <rPr>
        <sz val="10"/>
        <rFont val="Calibri"/>
        <family val="2"/>
      </rPr>
      <t>Is there an available, operational scale in the Chikka Chicken area</t>
    </r>
  </si>
  <si>
    <r>
      <t xml:space="preserve">Customer view: </t>
    </r>
    <r>
      <rPr>
        <sz val="10"/>
        <rFont val="Calibri"/>
        <family val="2"/>
      </rPr>
      <t xml:space="preserve">Does the Chikka Chicken product look appealing and not dried out </t>
    </r>
  </si>
  <si>
    <r>
      <rPr>
        <b/>
        <sz val="10"/>
        <rFont val="Calibri"/>
        <family val="2"/>
      </rPr>
      <t xml:space="preserve">Range: </t>
    </r>
    <r>
      <rPr>
        <sz val="10"/>
        <rFont val="Calibri"/>
        <family val="2"/>
      </rPr>
      <t xml:space="preserve">Check that the 5 lines from the core range are available, fully stocked and priced. </t>
    </r>
  </si>
  <si>
    <r>
      <rPr>
        <b/>
        <sz val="10"/>
        <rFont val="Calibri"/>
        <family val="2"/>
      </rPr>
      <t>Cooler:</t>
    </r>
    <r>
      <rPr>
        <sz val="10"/>
        <rFont val="Calibri"/>
        <family val="2"/>
      </rPr>
      <t xml:space="preserve"> Check that fans, ceilings, walls and floors are clean </t>
    </r>
  </si>
  <si>
    <t xml:space="preserve">Auditors evaluation criteria </t>
  </si>
  <si>
    <t>MAIN MEALS</t>
  </si>
  <si>
    <t>HOME CARE</t>
  </si>
  <si>
    <t>PET CARE</t>
  </si>
  <si>
    <t>GENRAL MERCHANDISE</t>
  </si>
  <si>
    <t>PERSONAL CARE</t>
  </si>
  <si>
    <t>BABY</t>
  </si>
  <si>
    <t>SNACKING</t>
  </si>
  <si>
    <t>HEALTH</t>
  </si>
  <si>
    <t>BULK</t>
  </si>
  <si>
    <t>SCORING RANGE</t>
  </si>
  <si>
    <r>
      <t xml:space="preserve">Verify that all </t>
    </r>
    <r>
      <rPr>
        <b/>
        <sz val="10"/>
        <color theme="1"/>
        <rFont val="Calibri"/>
        <family val="2"/>
      </rPr>
      <t xml:space="preserve">merchandisers </t>
    </r>
    <r>
      <rPr>
        <sz val="10"/>
        <color theme="1"/>
        <rFont val="Calibri"/>
        <family val="2"/>
      </rPr>
      <t>in SPAR spec uniform with a name badge.</t>
    </r>
  </si>
  <si>
    <r>
      <t xml:space="preserve">Verify that all </t>
    </r>
    <r>
      <rPr>
        <b/>
        <sz val="10"/>
        <color theme="1"/>
        <rFont val="Calibri"/>
        <family val="2"/>
      </rPr>
      <t>merchandisers</t>
    </r>
    <r>
      <rPr>
        <sz val="10"/>
        <color theme="1"/>
        <rFont val="Calibri"/>
        <family val="2"/>
      </rPr>
      <t xml:space="preserve"> in SPAR spec uniform with a name badge.</t>
    </r>
  </si>
  <si>
    <t>Breakfast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</si>
</sst>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color theme="1"/>
      <name val="Calibri"/>
      <family val="2"/>
    </font>
    <font>
      <b/>
      <sz val="10"/>
      <color theme="1"/>
      <name val="Calibri"/>
      <family val="2"/>
    </font>
    <font>
      <sz val="10"/>
      <color theme="0"/>
      <name val="Calibri"/>
      <family val="2"/>
    </font>
    <font>
      <b/>
      <sz val="10"/>
      <color theme="0"/>
      <name val="Calibri"/>
      <family val="2"/>
    </font>
    <font>
      <sz val="10"/>
      <name val="Calibri"/>
      <family val="2"/>
    </font>
    <font>
      <sz val="10"/>
      <color theme="6" tint="0.39997558519241921"/>
      <name val="Calibri"/>
      <family val="2"/>
    </font>
    <font>
      <u/>
      <sz val="10"/>
      <name val="Calibri"/>
      <family val="2"/>
    </font>
    <font>
      <b/>
      <u/>
      <sz val="10"/>
      <name val="Calibri"/>
      <family val="2"/>
    </font>
    <font>
      <b/>
      <sz val="10"/>
      <name val="Calibri"/>
      <family val="2"/>
    </font>
    <font>
      <sz val="11"/>
      <color rgb="FF242424"/>
      <name val="Calibri"/>
      <family val="2"/>
    </font>
  </fonts>
  <fills count="6">
    <fill>
      <patternFill patternType="none"/>
    </fill>
    <fill>
      <patternFill patternType="gray125"/>
    </fill>
    <fill>
      <patternFill patternType="solid">
        <fgColor rgb="FF00B0F0"/>
        <bgColor indexed="64"/>
      </patternFill>
    </fill>
    <fill>
      <patternFill patternType="solid">
        <fgColor rgb="FFC00000"/>
        <bgColor indexed="64"/>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91">
    <xf numFmtId="0" fontId="0" fillId="0" borderId="0" xfId="0"/>
    <xf numFmtId="0" fontId="1" fillId="0" borderId="0" xfId="0" applyFont="1"/>
    <xf numFmtId="0" fontId="1" fillId="0" borderId="2" xfId="0" applyFont="1" applyBorder="1" applyAlignment="1">
      <alignment vertical="center" wrapText="1"/>
    </xf>
    <xf numFmtId="0" fontId="1" fillId="0" borderId="0" xfId="0" applyFont="1" applyAlignment="1">
      <alignment vertical="center" wrapText="1"/>
    </xf>
    <xf numFmtId="0" fontId="1" fillId="3" borderId="2" xfId="0" applyFont="1" applyFill="1" applyBorder="1" applyAlignment="1">
      <alignment vertical="center" wrapText="1"/>
    </xf>
    <xf numFmtId="0" fontId="3" fillId="3" borderId="2" xfId="0" applyFont="1" applyFill="1" applyBorder="1" applyAlignment="1">
      <alignment vertical="center" wrapText="1"/>
    </xf>
    <xf numFmtId="0" fontId="1" fillId="3" borderId="2" xfId="0" applyFont="1" applyFill="1" applyBorder="1"/>
    <xf numFmtId="0" fontId="1" fillId="0" borderId="0" xfId="0" applyFont="1" applyAlignment="1">
      <alignment vertical="center"/>
    </xf>
    <xf numFmtId="0" fontId="2" fillId="0" borderId="0" xfId="0" applyFont="1" applyAlignment="1">
      <alignment vertical="center"/>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2" xfId="0" applyFont="1" applyFill="1" applyBorder="1" applyAlignment="1">
      <alignment vertical="center" wrapText="1"/>
    </xf>
    <xf numFmtId="0" fontId="1" fillId="0" borderId="2" xfId="0" applyFont="1" applyBorder="1" applyAlignment="1">
      <alignment horizontal="center" vertical="center"/>
    </xf>
    <xf numFmtId="0" fontId="1" fillId="0" borderId="2" xfId="0" quotePrefix="1" applyFont="1" applyBorder="1" applyAlignment="1">
      <alignment horizontal="center" vertical="center"/>
    </xf>
    <xf numFmtId="0" fontId="4" fillId="3" borderId="2" xfId="0" quotePrefix="1" applyFont="1" applyFill="1" applyBorder="1" applyAlignment="1">
      <alignment horizontal="center" vertical="center"/>
    </xf>
    <xf numFmtId="0" fontId="5" fillId="0" borderId="2" xfId="0" applyFont="1" applyBorder="1" applyAlignment="1">
      <alignment vertical="center" wrapText="1"/>
    </xf>
    <xf numFmtId="0" fontId="2" fillId="0" borderId="0" xfId="0" applyFont="1" applyAlignment="1">
      <alignment vertical="center" wrapText="1"/>
    </xf>
    <xf numFmtId="0" fontId="4" fillId="3" borderId="2" xfId="0" applyFont="1" applyFill="1" applyBorder="1" applyAlignment="1">
      <alignment horizontal="left" vertical="center" wrapText="1"/>
    </xf>
    <xf numFmtId="0" fontId="3" fillId="3" borderId="2" xfId="0" applyFont="1" applyFill="1" applyBorder="1" applyAlignment="1">
      <alignment horizontal="center" vertical="center"/>
    </xf>
    <xf numFmtId="0" fontId="5" fillId="4" borderId="2" xfId="0" applyFont="1" applyFill="1" applyBorder="1" applyAlignment="1">
      <alignment vertical="center" wrapText="1"/>
    </xf>
    <xf numFmtId="0" fontId="1" fillId="3" borderId="2" xfId="0" quotePrefix="1" applyFont="1" applyFill="1" applyBorder="1" applyAlignment="1">
      <alignment horizontal="center" vertical="center"/>
    </xf>
    <xf numFmtId="0" fontId="1" fillId="3" borderId="2" xfId="0" applyFont="1" applyFill="1" applyBorder="1" applyAlignment="1">
      <alignment horizontal="center" vertical="center"/>
    </xf>
    <xf numFmtId="0" fontId="1" fillId="0" borderId="0" xfId="0" quotePrefix="1" applyFont="1" applyAlignment="1">
      <alignment horizontal="center" vertical="center"/>
    </xf>
    <xf numFmtId="0" fontId="1" fillId="0" borderId="0" xfId="0" applyFont="1" applyAlignment="1">
      <alignment horizontal="center" vertical="center"/>
    </xf>
    <xf numFmtId="0" fontId="7" fillId="0" borderId="2" xfId="0" applyFont="1" applyBorder="1" applyAlignment="1">
      <alignment vertical="center" wrapText="1"/>
    </xf>
    <xf numFmtId="0" fontId="3" fillId="3" borderId="2" xfId="0" quotePrefix="1" applyFont="1" applyFill="1" applyBorder="1" applyAlignment="1">
      <alignment horizontal="center" vertical="center"/>
    </xf>
    <xf numFmtId="0" fontId="5" fillId="0" borderId="2" xfId="0" applyFont="1" applyBorder="1" applyAlignment="1">
      <alignment horizontal="center" vertical="center" wrapText="1"/>
    </xf>
    <xf numFmtId="0" fontId="1" fillId="4" borderId="2" xfId="0" applyFont="1" applyFill="1" applyBorder="1" applyAlignment="1">
      <alignment vertical="center" wrapText="1"/>
    </xf>
    <xf numFmtId="0" fontId="5" fillId="4" borderId="2" xfId="0" applyFont="1" applyFill="1" applyBorder="1" applyAlignment="1">
      <alignment horizontal="center" vertical="center" wrapText="1"/>
    </xf>
    <xf numFmtId="0" fontId="5" fillId="0" borderId="2" xfId="0" applyFont="1" applyBorder="1" applyAlignment="1">
      <alignment horizontal="left" vertical="center" wrapText="1"/>
    </xf>
    <xf numFmtId="0" fontId="1" fillId="0" borderId="2" xfId="0" applyFont="1" applyBorder="1" applyAlignment="1">
      <alignment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4"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3" fillId="3" borderId="2" xfId="0" applyFont="1" applyFill="1" applyBorder="1" applyAlignment="1">
      <alignment horizontal="center" vertical="center" wrapText="1"/>
    </xf>
    <xf numFmtId="0" fontId="5" fillId="0" borderId="2" xfId="0" quotePrefix="1" applyFont="1" applyBorder="1" applyAlignment="1">
      <alignment horizontal="center" vertical="center" wrapText="1"/>
    </xf>
    <xf numFmtId="0" fontId="1" fillId="2" borderId="2" xfId="0" applyFont="1" applyFill="1" applyBorder="1" applyAlignment="1">
      <alignment horizontal="center" vertical="center"/>
    </xf>
    <xf numFmtId="0" fontId="4" fillId="3" borderId="2" xfId="0" quotePrefix="1"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3" borderId="2" xfId="0" applyFont="1" applyFill="1" applyBorder="1" applyAlignment="1">
      <alignment vertical="center"/>
    </xf>
    <xf numFmtId="0" fontId="9" fillId="0" borderId="2" xfId="0" applyFont="1" applyBorder="1" applyAlignment="1">
      <alignment horizontal="left" vertical="center" wrapText="1"/>
    </xf>
    <xf numFmtId="0" fontId="2" fillId="0" borderId="2" xfId="0" applyFont="1" applyBorder="1" applyAlignment="1">
      <alignment horizontal="center" vertical="center"/>
    </xf>
    <xf numFmtId="0" fontId="9" fillId="0" borderId="2" xfId="0" applyFont="1" applyBorder="1" applyAlignment="1">
      <alignment horizontal="center" vertical="center" wrapText="1"/>
    </xf>
    <xf numFmtId="0" fontId="4" fillId="3" borderId="4" xfId="0" applyFont="1" applyFill="1" applyBorder="1" applyAlignment="1">
      <alignment vertical="center" wrapText="1"/>
    </xf>
    <xf numFmtId="0" fontId="2" fillId="3" borderId="2" xfId="0" applyFont="1" applyFill="1" applyBorder="1" applyAlignment="1">
      <alignment horizontal="center" vertical="center"/>
    </xf>
    <xf numFmtId="0" fontId="2" fillId="3" borderId="2" xfId="0" applyFont="1" applyFill="1" applyBorder="1" applyAlignment="1">
      <alignment vertical="center" wrapText="1"/>
    </xf>
    <xf numFmtId="0" fontId="3" fillId="2" borderId="2" xfId="0" applyFont="1" applyFill="1" applyBorder="1" applyAlignment="1">
      <alignment horizontal="center" vertical="center"/>
    </xf>
    <xf numFmtId="0" fontId="4" fillId="2" borderId="2" xfId="0" applyFont="1" applyFill="1" applyBorder="1" applyAlignment="1">
      <alignment vertical="center" wrapText="1"/>
    </xf>
    <xf numFmtId="0" fontId="4" fillId="2" borderId="2" xfId="0" applyFont="1" applyFill="1" applyBorder="1" applyAlignment="1">
      <alignment horizontal="center" vertical="center"/>
    </xf>
    <xf numFmtId="0" fontId="3" fillId="2" borderId="2" xfId="0" applyFont="1" applyFill="1" applyBorder="1" applyAlignment="1">
      <alignment vertical="center" wrapText="1"/>
    </xf>
    <xf numFmtId="0" fontId="1" fillId="2" borderId="2" xfId="0" applyFont="1" applyFill="1" applyBorder="1" applyAlignment="1">
      <alignment vertical="center" wrapText="1"/>
    </xf>
    <xf numFmtId="0" fontId="5" fillId="2" borderId="2" xfId="0" applyFont="1" applyFill="1" applyBorder="1" applyAlignment="1">
      <alignment vertical="center" wrapText="1"/>
    </xf>
    <xf numFmtId="0" fontId="4" fillId="3" borderId="4" xfId="0" applyFont="1" applyFill="1" applyBorder="1" applyAlignment="1">
      <alignment horizontal="left" vertical="center" wrapText="1"/>
    </xf>
    <xf numFmtId="0" fontId="1" fillId="0" borderId="0" xfId="0" applyFont="1" applyAlignment="1">
      <alignment wrapText="1"/>
    </xf>
    <xf numFmtId="0" fontId="1" fillId="3" borderId="2" xfId="0" applyFont="1" applyFill="1" applyBorder="1" applyAlignment="1">
      <alignment wrapText="1"/>
    </xf>
    <xf numFmtId="0" fontId="3" fillId="3" borderId="3" xfId="0" applyFont="1" applyFill="1" applyBorder="1" applyAlignment="1">
      <alignment vertical="center" wrapText="1"/>
    </xf>
    <xf numFmtId="0" fontId="1" fillId="0" borderId="2" xfId="0" applyFont="1" applyBorder="1" applyAlignment="1">
      <alignment wrapText="1"/>
    </xf>
    <xf numFmtId="0" fontId="1" fillId="0" borderId="2" xfId="0" applyFont="1" applyBorder="1"/>
    <xf numFmtId="0" fontId="5" fillId="2" borderId="2" xfId="0" applyFont="1" applyFill="1" applyBorder="1" applyAlignment="1">
      <alignment horizontal="left" vertical="center" wrapText="1"/>
    </xf>
    <xf numFmtId="0" fontId="1" fillId="2" borderId="2" xfId="0" applyFont="1" applyFill="1" applyBorder="1" applyAlignment="1">
      <alignment vertical="center"/>
    </xf>
    <xf numFmtId="0" fontId="10" fillId="2" borderId="2" xfId="0" applyFont="1" applyFill="1" applyBorder="1" applyAlignment="1">
      <alignment vertical="center" wrapText="1"/>
    </xf>
    <xf numFmtId="0" fontId="4" fillId="3" borderId="3" xfId="0" applyFont="1" applyFill="1" applyBorder="1" applyAlignment="1">
      <alignment horizontal="center"/>
    </xf>
    <xf numFmtId="0" fontId="4" fillId="3" borderId="7" xfId="0" applyFont="1" applyFill="1" applyBorder="1" applyAlignment="1">
      <alignment horizontal="center"/>
    </xf>
    <xf numFmtId="0" fontId="4" fillId="3" borderId="1" xfId="0" applyFont="1" applyFill="1" applyBorder="1" applyAlignment="1">
      <alignment horizontal="center"/>
    </xf>
    <xf numFmtId="0" fontId="4" fillId="3" borderId="3" xfId="0" applyFont="1" applyFill="1" applyBorder="1" applyAlignment="1">
      <alignment horizontal="center" wrapText="1"/>
    </xf>
    <xf numFmtId="0" fontId="4" fillId="3" borderId="7"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xf>
    <xf numFmtId="0" fontId="4" fillId="3" borderId="11" xfId="0" applyFont="1" applyFill="1" applyBorder="1" applyAlignment="1">
      <alignment horizontal="center"/>
    </xf>
    <xf numFmtId="0" fontId="4" fillId="3" borderId="6" xfId="0" applyFont="1" applyFill="1" applyBorder="1" applyAlignment="1">
      <alignment horizontal="center"/>
    </xf>
    <xf numFmtId="0" fontId="4" fillId="3" borderId="13" xfId="0" applyFont="1" applyFill="1" applyBorder="1" applyAlignment="1">
      <alignment horizontal="center"/>
    </xf>
    <xf numFmtId="0" fontId="4" fillId="3" borderId="5" xfId="0" applyFont="1" applyFill="1" applyBorder="1" applyAlignment="1">
      <alignment horizontal="center"/>
    </xf>
    <xf numFmtId="0" fontId="4" fillId="3" borderId="0" xfId="0" applyFont="1" applyFill="1" applyAlignment="1">
      <alignment horizontal="center"/>
    </xf>
    <xf numFmtId="0" fontId="4" fillId="3" borderId="12" xfId="0" applyFont="1" applyFill="1" applyBorder="1" applyAlignment="1">
      <alignment horizontal="center"/>
    </xf>
    <xf numFmtId="0" fontId="2" fillId="0" borderId="0" xfId="0" applyFont="1" applyAlignment="1">
      <alignment horizontal="center" vertical="center"/>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1" fillId="0" borderId="0" xfId="0" applyFont="1" applyAlignment="1">
      <alignment horizontal="center" vertical="center"/>
    </xf>
    <xf numFmtId="0" fontId="4" fillId="3" borderId="3"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0" borderId="5" xfId="0" quotePrefix="1" applyFont="1" applyBorder="1" applyAlignment="1">
      <alignment horizontal="center" vertical="center"/>
    </xf>
    <xf numFmtId="0" fontId="1" fillId="0" borderId="0" xfId="0" quotePrefix="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A646-8451-4CB7-9076-D59F24A43FBD}">
  <dimension ref="A1:AH699"/>
  <sheetViews>
    <sheetView tabSelected="1" topLeftCell="A223" zoomScaleNormal="100" workbookViewId="0">
      <selection activeCell="E234" sqref="E234"/>
    </sheetView>
  </sheetViews>
  <sheetFormatPr defaultRowHeight="12.75" x14ac:dyDescent="0.2"/>
  <cols>
    <col min="1" max="1" width="7.7109375" style="7" customWidth="1"/>
    <col min="2" max="2" width="41.42578125" style="3" customWidth="1"/>
    <col min="3" max="3" width="6.28515625" style="7" customWidth="1"/>
    <col min="4" max="4" width="61.42578125" style="3" customWidth="1"/>
    <col min="5" max="5" width="42.7109375" style="54" customWidth="1"/>
    <col min="6" max="6" width="9.140625" style="1"/>
    <col min="7" max="7" width="50" style="1" customWidth="1"/>
    <col min="8" max="8" width="43.28515625" style="1" customWidth="1"/>
    <col min="9" max="9" width="9.140625" style="1"/>
    <col min="10" max="10" width="36.28515625" style="1" customWidth="1"/>
    <col min="11" max="11" width="32.42578125" style="1" customWidth="1"/>
    <col min="12" max="12" width="9.140625" style="1" customWidth="1"/>
    <col min="13" max="14" width="30.42578125" style="1" customWidth="1"/>
    <col min="15" max="15" width="9.140625" style="1"/>
    <col min="16" max="16" width="36.7109375" style="1" customWidth="1"/>
    <col min="17" max="17" width="27.28515625" style="1" customWidth="1"/>
    <col min="18" max="18" width="9" style="1" customWidth="1"/>
    <col min="19" max="19" width="27.28515625" style="1" customWidth="1"/>
    <col min="20" max="20" width="35.7109375" style="1" customWidth="1"/>
    <col min="21" max="21" width="9.140625" style="1"/>
    <col min="22" max="23" width="28.85546875" style="1" customWidth="1"/>
    <col min="24" max="24" width="9.140625" style="1"/>
    <col min="25" max="26" width="30.140625" style="1" customWidth="1"/>
    <col min="27" max="27" width="9.140625" style="1"/>
    <col min="28" max="29" width="30.5703125" style="1" customWidth="1"/>
    <col min="30" max="30" width="9.140625" style="1"/>
    <col min="31" max="31" width="43.140625" style="1" customWidth="1"/>
    <col min="32" max="32" width="28.5703125" style="1" customWidth="1"/>
    <col min="33" max="33" width="9.140625" style="1"/>
    <col min="34" max="34" width="37" style="1" customWidth="1"/>
    <col min="35" max="16384" width="9.140625" style="1"/>
  </cols>
  <sheetData>
    <row r="1" spans="1:4" x14ac:dyDescent="0.2">
      <c r="D1" s="7"/>
    </row>
    <row r="2" spans="1:4" x14ac:dyDescent="0.2">
      <c r="A2" s="75" t="s">
        <v>0</v>
      </c>
      <c r="B2" s="75"/>
      <c r="C2" s="75"/>
      <c r="D2" s="7"/>
    </row>
    <row r="3" spans="1:4" x14ac:dyDescent="0.2">
      <c r="C3" s="8"/>
      <c r="D3" s="7"/>
    </row>
    <row r="4" spans="1:4" ht="15" customHeight="1" x14ac:dyDescent="0.2">
      <c r="A4" s="76">
        <v>1</v>
      </c>
      <c r="B4" s="76"/>
      <c r="C4" s="76"/>
      <c r="D4" s="76"/>
    </row>
    <row r="5" spans="1:4" ht="15" customHeight="1" x14ac:dyDescent="0.2">
      <c r="A5" s="76" t="s">
        <v>1</v>
      </c>
      <c r="B5" s="76"/>
      <c r="C5" s="76"/>
      <c r="D5" s="76"/>
    </row>
    <row r="6" spans="1:4" ht="15" customHeight="1" x14ac:dyDescent="0.2">
      <c r="A6" s="76" t="s">
        <v>3</v>
      </c>
      <c r="B6" s="76"/>
      <c r="C6" s="76"/>
      <c r="D6" s="76"/>
    </row>
    <row r="7" spans="1:4" x14ac:dyDescent="0.2">
      <c r="A7" s="9"/>
      <c r="B7" s="9" t="s">
        <v>4</v>
      </c>
      <c r="C7" s="10" t="s">
        <v>5</v>
      </c>
      <c r="D7" s="48" t="s">
        <v>617</v>
      </c>
    </row>
    <row r="8" spans="1:4" ht="25.5" x14ac:dyDescent="0.2">
      <c r="A8" s="10">
        <v>1.1000000000000001</v>
      </c>
      <c r="B8" s="11" t="s">
        <v>6</v>
      </c>
      <c r="C8" s="10">
        <f>SUM(C9:C12)</f>
        <v>20</v>
      </c>
      <c r="D8" s="11"/>
    </row>
    <row r="9" spans="1:4" ht="26.25" customHeight="1" x14ac:dyDescent="0.2">
      <c r="A9" s="12" t="s">
        <v>7</v>
      </c>
      <c r="B9" s="2" t="s">
        <v>8</v>
      </c>
      <c r="C9" s="12">
        <v>5</v>
      </c>
      <c r="D9" s="51" t="s">
        <v>9</v>
      </c>
    </row>
    <row r="10" spans="1:4" ht="51.75" customHeight="1" x14ac:dyDescent="0.2">
      <c r="A10" s="12" t="s">
        <v>10</v>
      </c>
      <c r="B10" s="2" t="s">
        <v>11</v>
      </c>
      <c r="C10" s="12">
        <v>5</v>
      </c>
      <c r="D10" s="51" t="s">
        <v>12</v>
      </c>
    </row>
    <row r="11" spans="1:4" ht="59.25" customHeight="1" x14ac:dyDescent="0.2">
      <c r="A11" s="12" t="s">
        <v>13</v>
      </c>
      <c r="B11" s="2" t="s">
        <v>14</v>
      </c>
      <c r="C11" s="12">
        <v>5</v>
      </c>
      <c r="D11" s="51" t="s">
        <v>15</v>
      </c>
    </row>
    <row r="12" spans="1:4" ht="66.75" customHeight="1" x14ac:dyDescent="0.2">
      <c r="A12" s="12" t="s">
        <v>16</v>
      </c>
      <c r="B12" s="2" t="s">
        <v>17</v>
      </c>
      <c r="C12" s="12">
        <v>5</v>
      </c>
      <c r="D12" s="51" t="s">
        <v>15</v>
      </c>
    </row>
    <row r="13" spans="1:4" x14ac:dyDescent="0.2">
      <c r="A13" s="10">
        <v>1.2</v>
      </c>
      <c r="B13" s="11" t="s">
        <v>18</v>
      </c>
      <c r="C13" s="10">
        <f>SUM(C14:C16)</f>
        <v>20</v>
      </c>
      <c r="D13" s="5"/>
    </row>
    <row r="14" spans="1:4" ht="25.5" x14ac:dyDescent="0.2">
      <c r="A14" s="12" t="s">
        <v>7</v>
      </c>
      <c r="B14" s="2" t="s">
        <v>19</v>
      </c>
      <c r="C14" s="12">
        <v>5</v>
      </c>
      <c r="D14" s="51" t="s">
        <v>20</v>
      </c>
    </row>
    <row r="15" spans="1:4" ht="25.5" x14ac:dyDescent="0.2">
      <c r="A15" s="12" t="s">
        <v>10</v>
      </c>
      <c r="B15" s="2" t="s">
        <v>21</v>
      </c>
      <c r="C15" s="12">
        <v>5</v>
      </c>
      <c r="D15" s="51" t="s">
        <v>22</v>
      </c>
    </row>
    <row r="16" spans="1:4" ht="25.5" x14ac:dyDescent="0.2">
      <c r="A16" s="13" t="s">
        <v>13</v>
      </c>
      <c r="B16" s="2" t="s">
        <v>23</v>
      </c>
      <c r="C16" s="12">
        <v>10</v>
      </c>
      <c r="D16" s="51" t="s">
        <v>24</v>
      </c>
    </row>
    <row r="17" spans="1:4" x14ac:dyDescent="0.2">
      <c r="A17" s="10">
        <v>1.3</v>
      </c>
      <c r="B17" s="11" t="s">
        <v>25</v>
      </c>
      <c r="C17" s="10">
        <f>SUM(C18:C19)</f>
        <v>8</v>
      </c>
      <c r="D17" s="5"/>
    </row>
    <row r="18" spans="1:4" ht="25.5" x14ac:dyDescent="0.2">
      <c r="A18" s="12" t="s">
        <v>7</v>
      </c>
      <c r="B18" s="2" t="s">
        <v>26</v>
      </c>
      <c r="C18" s="12">
        <v>5</v>
      </c>
      <c r="D18" s="51" t="s">
        <v>27</v>
      </c>
    </row>
    <row r="19" spans="1:4" ht="25.5" x14ac:dyDescent="0.2">
      <c r="A19" s="12" t="s">
        <v>10</v>
      </c>
      <c r="B19" s="2" t="s">
        <v>28</v>
      </c>
      <c r="C19" s="12">
        <v>3</v>
      </c>
      <c r="D19" s="51" t="s">
        <v>29</v>
      </c>
    </row>
    <row r="20" spans="1:4" x14ac:dyDescent="0.2">
      <c r="A20" s="14">
        <v>1.4</v>
      </c>
      <c r="B20" s="11" t="s">
        <v>30</v>
      </c>
      <c r="C20" s="10">
        <f>SUM(C21:C23)</f>
        <v>15</v>
      </c>
      <c r="D20" s="5"/>
    </row>
    <row r="21" spans="1:4" ht="38.25" x14ac:dyDescent="0.2">
      <c r="A21" s="13" t="s">
        <v>7</v>
      </c>
      <c r="B21" s="15" t="s">
        <v>31</v>
      </c>
      <c r="C21" s="12">
        <v>5</v>
      </c>
      <c r="D21" s="51" t="s">
        <v>32</v>
      </c>
    </row>
    <row r="22" spans="1:4" ht="38.25" x14ac:dyDescent="0.2">
      <c r="A22" s="13" t="s">
        <v>10</v>
      </c>
      <c r="B22" s="15" t="s">
        <v>33</v>
      </c>
      <c r="C22" s="12">
        <v>5</v>
      </c>
      <c r="D22" s="51" t="s">
        <v>34</v>
      </c>
    </row>
    <row r="23" spans="1:4" ht="38.25" x14ac:dyDescent="0.2">
      <c r="A23" s="13" t="s">
        <v>13</v>
      </c>
      <c r="B23" s="15" t="s">
        <v>35</v>
      </c>
      <c r="C23" s="12">
        <v>5</v>
      </c>
      <c r="D23" s="51" t="s">
        <v>36</v>
      </c>
    </row>
    <row r="24" spans="1:4" x14ac:dyDescent="0.2">
      <c r="B24" s="16"/>
    </row>
    <row r="25" spans="1:4" x14ac:dyDescent="0.2">
      <c r="A25" s="75"/>
      <c r="B25" s="75"/>
    </row>
    <row r="26" spans="1:4" ht="15" customHeight="1" x14ac:dyDescent="0.2">
      <c r="A26" s="76">
        <v>2</v>
      </c>
      <c r="B26" s="76"/>
      <c r="C26" s="76"/>
      <c r="D26" s="76"/>
    </row>
    <row r="27" spans="1:4" x14ac:dyDescent="0.2">
      <c r="A27" s="9"/>
      <c r="B27" s="76" t="s">
        <v>37</v>
      </c>
      <c r="C27" s="76"/>
      <c r="D27" s="76"/>
    </row>
    <row r="28" spans="1:4" ht="32.25" customHeight="1" x14ac:dyDescent="0.2">
      <c r="A28" s="87" t="s">
        <v>38</v>
      </c>
      <c r="B28" s="87"/>
      <c r="C28" s="87"/>
      <c r="D28" s="87"/>
    </row>
    <row r="29" spans="1:4" x14ac:dyDescent="0.2">
      <c r="A29" s="9"/>
      <c r="B29" s="9" t="s">
        <v>4</v>
      </c>
      <c r="C29" s="10"/>
      <c r="D29" s="5"/>
    </row>
    <row r="30" spans="1:4" x14ac:dyDescent="0.2">
      <c r="A30" s="9">
        <v>2</v>
      </c>
      <c r="B30" s="17" t="s">
        <v>39</v>
      </c>
      <c r="C30" s="10">
        <f>SUM(C31:C40)</f>
        <v>23</v>
      </c>
      <c r="D30" s="48" t="s">
        <v>617</v>
      </c>
    </row>
    <row r="31" spans="1:4" x14ac:dyDescent="0.2">
      <c r="A31" s="12">
        <v>2.1</v>
      </c>
      <c r="B31" s="2" t="s">
        <v>40</v>
      </c>
      <c r="C31" s="12">
        <v>3</v>
      </c>
      <c r="D31" s="52" t="s">
        <v>41</v>
      </c>
    </row>
    <row r="32" spans="1:4" x14ac:dyDescent="0.2">
      <c r="A32" s="12">
        <v>2.2000000000000002</v>
      </c>
      <c r="B32" s="2" t="s">
        <v>42</v>
      </c>
      <c r="C32" s="12">
        <v>3</v>
      </c>
      <c r="D32" s="52" t="s">
        <v>43</v>
      </c>
    </row>
    <row r="33" spans="1:4" ht="25.5" x14ac:dyDescent="0.2">
      <c r="A33" s="13">
        <v>2.2999999999999998</v>
      </c>
      <c r="B33" s="2" t="s">
        <v>44</v>
      </c>
      <c r="C33" s="12">
        <v>3</v>
      </c>
      <c r="D33" s="52" t="s">
        <v>45</v>
      </c>
    </row>
    <row r="34" spans="1:4" x14ac:dyDescent="0.2">
      <c r="A34" s="12">
        <v>2.4</v>
      </c>
      <c r="B34" s="2" t="s">
        <v>46</v>
      </c>
      <c r="C34" s="12">
        <v>3</v>
      </c>
      <c r="D34" s="52" t="s">
        <v>47</v>
      </c>
    </row>
    <row r="35" spans="1:4" x14ac:dyDescent="0.2">
      <c r="A35" s="13">
        <v>2.5</v>
      </c>
      <c r="B35" s="2" t="s">
        <v>593</v>
      </c>
      <c r="C35" s="12">
        <v>3</v>
      </c>
      <c r="D35" s="51" t="s">
        <v>48</v>
      </c>
    </row>
    <row r="36" spans="1:4" ht="25.5" x14ac:dyDescent="0.2">
      <c r="A36" s="13">
        <v>2.6</v>
      </c>
      <c r="B36" s="2" t="s">
        <v>594</v>
      </c>
      <c r="C36" s="12">
        <v>1</v>
      </c>
      <c r="D36" s="51" t="s">
        <v>49</v>
      </c>
    </row>
    <row r="37" spans="1:4" ht="25.5" x14ac:dyDescent="0.2">
      <c r="A37" s="12">
        <v>2.7</v>
      </c>
      <c r="B37" s="2" t="s">
        <v>595</v>
      </c>
      <c r="C37" s="12">
        <v>1</v>
      </c>
      <c r="D37" s="51" t="s">
        <v>50</v>
      </c>
    </row>
    <row r="38" spans="1:4" ht="67.5" customHeight="1" x14ac:dyDescent="0.2">
      <c r="A38" s="47">
        <v>2.8</v>
      </c>
      <c r="B38" s="48" t="s">
        <v>51</v>
      </c>
      <c r="C38" s="49"/>
      <c r="D38" s="50"/>
    </row>
    <row r="39" spans="1:4" ht="38.25" x14ac:dyDescent="0.2">
      <c r="A39" s="12" t="s">
        <v>7</v>
      </c>
      <c r="B39" s="15" t="s">
        <v>52</v>
      </c>
      <c r="C39" s="12">
        <v>3</v>
      </c>
      <c r="D39" s="51" t="s">
        <v>53</v>
      </c>
    </row>
    <row r="40" spans="1:4" ht="25.5" x14ac:dyDescent="0.2">
      <c r="A40" s="12" t="s">
        <v>10</v>
      </c>
      <c r="B40" s="15" t="s">
        <v>54</v>
      </c>
      <c r="C40" s="12">
        <v>3</v>
      </c>
      <c r="D40" s="51" t="s">
        <v>55</v>
      </c>
    </row>
    <row r="42" spans="1:4" ht="15" customHeight="1" x14ac:dyDescent="0.2">
      <c r="A42" s="76">
        <v>3</v>
      </c>
      <c r="B42" s="76"/>
      <c r="C42" s="76"/>
      <c r="D42" s="76"/>
    </row>
    <row r="43" spans="1:4" ht="15" customHeight="1" x14ac:dyDescent="0.2">
      <c r="A43" s="76" t="s">
        <v>56</v>
      </c>
      <c r="B43" s="76"/>
      <c r="C43" s="76"/>
      <c r="D43" s="76"/>
    </row>
    <row r="44" spans="1:4" ht="15" customHeight="1" x14ac:dyDescent="0.2">
      <c r="A44" s="76" t="s">
        <v>57</v>
      </c>
      <c r="B44" s="76"/>
      <c r="C44" s="76"/>
      <c r="D44" s="76"/>
    </row>
    <row r="45" spans="1:4" x14ac:dyDescent="0.2">
      <c r="A45" s="9"/>
      <c r="B45" s="9" t="s">
        <v>4</v>
      </c>
      <c r="C45" s="10"/>
      <c r="D45" s="9"/>
    </row>
    <row r="46" spans="1:4" x14ac:dyDescent="0.2">
      <c r="A46" s="9">
        <v>3</v>
      </c>
      <c r="B46" s="17" t="s">
        <v>58</v>
      </c>
      <c r="C46" s="10"/>
      <c r="D46" s="48" t="s">
        <v>617</v>
      </c>
    </row>
    <row r="47" spans="1:4" ht="25.5" x14ac:dyDescent="0.2">
      <c r="A47" s="12">
        <v>3.1</v>
      </c>
      <c r="B47" s="2" t="s">
        <v>59</v>
      </c>
      <c r="C47" s="12">
        <v>5</v>
      </c>
      <c r="D47" s="52" t="s">
        <v>60</v>
      </c>
    </row>
    <row r="48" spans="1:4" ht="25.5" x14ac:dyDescent="0.2">
      <c r="A48" s="12">
        <v>3.2</v>
      </c>
      <c r="B48" s="2" t="s">
        <v>61</v>
      </c>
      <c r="C48" s="12">
        <v>5</v>
      </c>
      <c r="D48" s="52" t="s">
        <v>62</v>
      </c>
    </row>
    <row r="50" spans="1:4" ht="15" customHeight="1" x14ac:dyDescent="0.2">
      <c r="A50" s="76">
        <v>4</v>
      </c>
      <c r="B50" s="76"/>
      <c r="C50" s="76"/>
      <c r="D50" s="76"/>
    </row>
    <row r="51" spans="1:4" ht="15" customHeight="1" x14ac:dyDescent="0.2">
      <c r="A51" s="76" t="s">
        <v>63</v>
      </c>
      <c r="B51" s="76"/>
      <c r="C51" s="76"/>
      <c r="D51" s="76"/>
    </row>
    <row r="52" spans="1:4" ht="15" customHeight="1" x14ac:dyDescent="0.2">
      <c r="A52" s="76" t="s">
        <v>64</v>
      </c>
      <c r="B52" s="76"/>
      <c r="C52" s="76"/>
      <c r="D52" s="76"/>
    </row>
    <row r="53" spans="1:4" x14ac:dyDescent="0.2">
      <c r="A53" s="76"/>
      <c r="B53" s="76" t="s">
        <v>4</v>
      </c>
      <c r="C53" s="77"/>
      <c r="D53" s="5"/>
    </row>
    <row r="54" spans="1:4" x14ac:dyDescent="0.2">
      <c r="A54" s="76"/>
      <c r="B54" s="76"/>
      <c r="C54" s="77"/>
      <c r="D54" s="5"/>
    </row>
    <row r="55" spans="1:4" x14ac:dyDescent="0.2">
      <c r="A55" s="9">
        <v>4.0999999999999996</v>
      </c>
      <c r="B55" s="17" t="s">
        <v>65</v>
      </c>
      <c r="C55" s="10">
        <f>SUM(C56:C57)</f>
        <v>15</v>
      </c>
      <c r="D55" s="48" t="s">
        <v>617</v>
      </c>
    </row>
    <row r="56" spans="1:4" ht="63.75" x14ac:dyDescent="0.2">
      <c r="A56" s="12" t="s">
        <v>7</v>
      </c>
      <c r="B56" s="2" t="s">
        <v>66</v>
      </c>
      <c r="C56" s="12">
        <v>10</v>
      </c>
      <c r="D56" s="52" t="s">
        <v>67</v>
      </c>
    </row>
    <row r="57" spans="1:4" ht="25.5" x14ac:dyDescent="0.2">
      <c r="A57" s="12" t="s">
        <v>10</v>
      </c>
      <c r="B57" s="15" t="s">
        <v>68</v>
      </c>
      <c r="C57" s="12">
        <v>5</v>
      </c>
      <c r="D57" s="52" t="s">
        <v>69</v>
      </c>
    </row>
    <row r="58" spans="1:4" x14ac:dyDescent="0.2">
      <c r="A58" s="10">
        <v>4.2</v>
      </c>
      <c r="B58" s="11" t="s">
        <v>70</v>
      </c>
      <c r="C58" s="10">
        <f>SUM(C59:C60)</f>
        <v>15</v>
      </c>
      <c r="D58" s="5"/>
    </row>
    <row r="59" spans="1:4" ht="89.25" x14ac:dyDescent="0.2">
      <c r="A59" s="12" t="s">
        <v>7</v>
      </c>
      <c r="B59" s="15" t="s">
        <v>71</v>
      </c>
      <c r="C59" s="12">
        <v>10</v>
      </c>
      <c r="D59" s="52" t="s">
        <v>72</v>
      </c>
    </row>
    <row r="60" spans="1:4" x14ac:dyDescent="0.2">
      <c r="A60" s="12" t="s">
        <v>10</v>
      </c>
      <c r="B60" s="2" t="s">
        <v>73</v>
      </c>
      <c r="C60" s="12">
        <v>5</v>
      </c>
      <c r="D60" s="52" t="s">
        <v>69</v>
      </c>
    </row>
    <row r="61" spans="1:4" x14ac:dyDescent="0.2">
      <c r="A61" s="10">
        <v>4.3</v>
      </c>
      <c r="B61" s="11" t="s">
        <v>74</v>
      </c>
      <c r="C61" s="10">
        <f>SUM(C62:C64)</f>
        <v>20</v>
      </c>
      <c r="D61" s="5"/>
    </row>
    <row r="62" spans="1:4" ht="38.25" x14ac:dyDescent="0.2">
      <c r="A62" s="12" t="s">
        <v>7</v>
      </c>
      <c r="B62" s="15" t="s">
        <v>75</v>
      </c>
      <c r="C62" s="12">
        <v>10</v>
      </c>
      <c r="D62" s="51" t="s">
        <v>76</v>
      </c>
    </row>
    <row r="63" spans="1:4" x14ac:dyDescent="0.2">
      <c r="A63" s="12" t="s">
        <v>10</v>
      </c>
      <c r="B63" s="2" t="s">
        <v>77</v>
      </c>
      <c r="C63" s="12">
        <v>5</v>
      </c>
      <c r="D63" s="51" t="s">
        <v>78</v>
      </c>
    </row>
    <row r="64" spans="1:4" ht="25.5" x14ac:dyDescent="0.2">
      <c r="A64" s="12" t="s">
        <v>13</v>
      </c>
      <c r="B64" s="2" t="s">
        <v>79</v>
      </c>
      <c r="C64" s="12">
        <v>5</v>
      </c>
      <c r="D64" s="51" t="s">
        <v>80</v>
      </c>
    </row>
    <row r="65" spans="1:4" x14ac:dyDescent="0.2">
      <c r="A65" s="10">
        <v>4.4000000000000004</v>
      </c>
      <c r="B65" s="11" t="s">
        <v>81</v>
      </c>
      <c r="C65" s="10">
        <f>SUM(C66:C67)</f>
        <v>15</v>
      </c>
      <c r="D65" s="5"/>
    </row>
    <row r="66" spans="1:4" ht="25.5" x14ac:dyDescent="0.2">
      <c r="A66" s="13" t="s">
        <v>7</v>
      </c>
      <c r="B66" s="2" t="s">
        <v>82</v>
      </c>
      <c r="C66" s="12">
        <v>5</v>
      </c>
      <c r="D66" s="51" t="s">
        <v>83</v>
      </c>
    </row>
    <row r="67" spans="1:4" ht="25.5" x14ac:dyDescent="0.2">
      <c r="A67" s="13" t="s">
        <v>10</v>
      </c>
      <c r="B67" s="2" t="s">
        <v>84</v>
      </c>
      <c r="C67" s="12">
        <v>10</v>
      </c>
      <c r="D67" s="51" t="s">
        <v>85</v>
      </c>
    </row>
    <row r="69" spans="1:4" ht="15" customHeight="1" x14ac:dyDescent="0.2">
      <c r="A69" s="88">
        <v>5</v>
      </c>
      <c r="B69" s="88"/>
      <c r="C69" s="88"/>
      <c r="D69" s="88"/>
    </row>
    <row r="70" spans="1:4" ht="15" customHeight="1" x14ac:dyDescent="0.2">
      <c r="A70" s="76" t="s">
        <v>86</v>
      </c>
      <c r="B70" s="76"/>
      <c r="C70" s="76"/>
      <c r="D70" s="76"/>
    </row>
    <row r="71" spans="1:4" ht="15" customHeight="1" x14ac:dyDescent="0.2">
      <c r="A71" s="76" t="s">
        <v>87</v>
      </c>
      <c r="B71" s="76"/>
      <c r="C71" s="76"/>
      <c r="D71" s="76"/>
    </row>
    <row r="72" spans="1:4" x14ac:dyDescent="0.2">
      <c r="A72" s="9"/>
      <c r="B72" s="9" t="s">
        <v>4</v>
      </c>
      <c r="C72" s="10"/>
      <c r="D72" s="5"/>
    </row>
    <row r="73" spans="1:4" x14ac:dyDescent="0.2">
      <c r="A73" s="14">
        <v>5.0999999999999996</v>
      </c>
      <c r="B73" s="11" t="s">
        <v>88</v>
      </c>
      <c r="C73" s="10">
        <f>SUM(C74)</f>
        <v>10</v>
      </c>
      <c r="D73" s="48" t="s">
        <v>617</v>
      </c>
    </row>
    <row r="74" spans="1:4" ht="102" x14ac:dyDescent="0.2">
      <c r="A74" s="13" t="s">
        <v>7</v>
      </c>
      <c r="B74" s="15" t="s">
        <v>89</v>
      </c>
      <c r="C74" s="12">
        <v>10</v>
      </c>
      <c r="D74" s="51" t="s">
        <v>90</v>
      </c>
    </row>
    <row r="75" spans="1:4" x14ac:dyDescent="0.2">
      <c r="A75" s="10">
        <v>5.2</v>
      </c>
      <c r="B75" s="11" t="s">
        <v>91</v>
      </c>
      <c r="C75" s="10">
        <f>SUM(C76:C78)</f>
        <v>20</v>
      </c>
      <c r="D75" s="5"/>
    </row>
    <row r="76" spans="1:4" ht="25.5" x14ac:dyDescent="0.2">
      <c r="A76" s="12" t="s">
        <v>7</v>
      </c>
      <c r="B76" s="15" t="s">
        <v>92</v>
      </c>
      <c r="C76" s="12">
        <v>10</v>
      </c>
      <c r="D76" s="51" t="s">
        <v>93</v>
      </c>
    </row>
    <row r="77" spans="1:4" x14ac:dyDescent="0.2">
      <c r="A77" s="12" t="s">
        <v>10</v>
      </c>
      <c r="B77" s="2" t="s">
        <v>94</v>
      </c>
      <c r="C77" s="12">
        <v>5</v>
      </c>
      <c r="D77" s="51" t="s">
        <v>95</v>
      </c>
    </row>
    <row r="78" spans="1:4" x14ac:dyDescent="0.2">
      <c r="A78" s="12" t="s">
        <v>13</v>
      </c>
      <c r="B78" s="2" t="s">
        <v>96</v>
      </c>
      <c r="C78" s="12">
        <v>5</v>
      </c>
      <c r="D78" s="51" t="s">
        <v>97</v>
      </c>
    </row>
    <row r="79" spans="1:4" ht="25.5" x14ac:dyDescent="0.2">
      <c r="A79" s="14">
        <v>5.3</v>
      </c>
      <c r="B79" s="11" t="s">
        <v>98</v>
      </c>
      <c r="C79" s="10">
        <f>SUM(C80:C81)</f>
        <v>10</v>
      </c>
      <c r="D79" s="5"/>
    </row>
    <row r="80" spans="1:4" ht="25.5" x14ac:dyDescent="0.2">
      <c r="A80" s="13" t="s">
        <v>7</v>
      </c>
      <c r="B80" s="15" t="s">
        <v>99</v>
      </c>
      <c r="C80" s="12">
        <v>5</v>
      </c>
      <c r="D80" s="51" t="s">
        <v>100</v>
      </c>
    </row>
    <row r="81" spans="1:4" x14ac:dyDescent="0.2">
      <c r="A81" s="13" t="s">
        <v>10</v>
      </c>
      <c r="B81" s="2" t="s">
        <v>101</v>
      </c>
      <c r="C81" s="12">
        <v>5</v>
      </c>
      <c r="D81" s="51" t="s">
        <v>102</v>
      </c>
    </row>
    <row r="82" spans="1:4" x14ac:dyDescent="0.2">
      <c r="A82" s="14">
        <v>5.4</v>
      </c>
      <c r="B82" s="11" t="s">
        <v>103</v>
      </c>
      <c r="C82" s="10">
        <f>SUM(C83:C87)</f>
        <v>30</v>
      </c>
      <c r="D82" s="5"/>
    </row>
    <row r="83" spans="1:4" ht="25.5" x14ac:dyDescent="0.2">
      <c r="A83" s="13" t="s">
        <v>7</v>
      </c>
      <c r="B83" s="2" t="s">
        <v>104</v>
      </c>
      <c r="C83" s="12">
        <v>5</v>
      </c>
      <c r="D83" s="51" t="s">
        <v>105</v>
      </c>
    </row>
    <row r="84" spans="1:4" ht="25.5" x14ac:dyDescent="0.2">
      <c r="A84" s="13" t="s">
        <v>10</v>
      </c>
      <c r="B84" s="15" t="s">
        <v>106</v>
      </c>
      <c r="C84" s="12">
        <v>10</v>
      </c>
      <c r="D84" s="51" t="s">
        <v>107</v>
      </c>
    </row>
    <row r="85" spans="1:4" ht="25.5" x14ac:dyDescent="0.2">
      <c r="A85" s="13" t="s">
        <v>13</v>
      </c>
      <c r="B85" s="2" t="s">
        <v>108</v>
      </c>
      <c r="C85" s="12">
        <v>5</v>
      </c>
      <c r="D85" s="51" t="s">
        <v>109</v>
      </c>
    </row>
    <row r="86" spans="1:4" x14ac:dyDescent="0.2">
      <c r="A86" s="13" t="s">
        <v>16</v>
      </c>
      <c r="B86" s="2" t="s">
        <v>110</v>
      </c>
      <c r="C86" s="12">
        <v>5</v>
      </c>
      <c r="D86" s="51" t="s">
        <v>111</v>
      </c>
    </row>
    <row r="87" spans="1:4" x14ac:dyDescent="0.2">
      <c r="A87" s="13" t="s">
        <v>112</v>
      </c>
      <c r="B87" s="2" t="s">
        <v>113</v>
      </c>
      <c r="C87" s="12">
        <v>5</v>
      </c>
      <c r="D87" s="51" t="s">
        <v>114</v>
      </c>
    </row>
    <row r="88" spans="1:4" x14ac:dyDescent="0.2">
      <c r="A88" s="14">
        <v>5.5</v>
      </c>
      <c r="B88" s="11" t="s">
        <v>115</v>
      </c>
      <c r="C88" s="10">
        <f>SUM(C89:C93)</f>
        <v>30</v>
      </c>
      <c r="D88" s="5"/>
    </row>
    <row r="89" spans="1:4" ht="25.5" x14ac:dyDescent="0.2">
      <c r="A89" s="13" t="s">
        <v>7</v>
      </c>
      <c r="B89" s="2" t="s">
        <v>116</v>
      </c>
      <c r="C89" s="12">
        <v>5</v>
      </c>
      <c r="D89" s="51" t="s">
        <v>117</v>
      </c>
    </row>
    <row r="90" spans="1:4" ht="25.5" x14ac:dyDescent="0.2">
      <c r="A90" s="13" t="s">
        <v>10</v>
      </c>
      <c r="B90" s="15" t="s">
        <v>118</v>
      </c>
      <c r="C90" s="12">
        <v>10</v>
      </c>
      <c r="D90" s="51" t="s">
        <v>119</v>
      </c>
    </row>
    <row r="91" spans="1:4" ht="25.5" x14ac:dyDescent="0.2">
      <c r="A91" s="13" t="s">
        <v>13</v>
      </c>
      <c r="B91" s="2" t="s">
        <v>120</v>
      </c>
      <c r="C91" s="12">
        <v>5</v>
      </c>
      <c r="D91" s="51" t="s">
        <v>121</v>
      </c>
    </row>
    <row r="92" spans="1:4" x14ac:dyDescent="0.2">
      <c r="A92" s="13" t="s">
        <v>16</v>
      </c>
      <c r="B92" s="2" t="s">
        <v>122</v>
      </c>
      <c r="C92" s="12">
        <v>5</v>
      </c>
      <c r="D92" s="51" t="s">
        <v>123</v>
      </c>
    </row>
    <row r="93" spans="1:4" x14ac:dyDescent="0.2">
      <c r="A93" s="13" t="s">
        <v>112</v>
      </c>
      <c r="B93" s="2" t="s">
        <v>124</v>
      </c>
      <c r="C93" s="12">
        <v>5</v>
      </c>
      <c r="D93" s="51" t="s">
        <v>125</v>
      </c>
    </row>
    <row r="94" spans="1:4" x14ac:dyDescent="0.2">
      <c r="A94" s="14">
        <v>5.6</v>
      </c>
      <c r="B94" s="11" t="s">
        <v>126</v>
      </c>
      <c r="C94" s="10">
        <f>SUM(C95:C97)</f>
        <v>15</v>
      </c>
      <c r="D94" s="5"/>
    </row>
    <row r="95" spans="1:4" x14ac:dyDescent="0.2">
      <c r="A95" s="13" t="s">
        <v>7</v>
      </c>
      <c r="B95" s="2" t="s">
        <v>127</v>
      </c>
      <c r="C95" s="12">
        <v>5</v>
      </c>
      <c r="D95" s="51" t="s">
        <v>128</v>
      </c>
    </row>
    <row r="96" spans="1:4" ht="25.5" x14ac:dyDescent="0.2">
      <c r="A96" s="13" t="s">
        <v>10</v>
      </c>
      <c r="B96" s="2" t="s">
        <v>129</v>
      </c>
      <c r="C96" s="12">
        <v>5</v>
      </c>
      <c r="D96" s="51" t="s">
        <v>130</v>
      </c>
    </row>
    <row r="97" spans="1:4" ht="25.5" x14ac:dyDescent="0.2">
      <c r="A97" s="13" t="s">
        <v>13</v>
      </c>
      <c r="B97" s="2" t="s">
        <v>131</v>
      </c>
      <c r="C97" s="12">
        <v>5</v>
      </c>
      <c r="D97" s="51" t="s">
        <v>132</v>
      </c>
    </row>
    <row r="99" spans="1:4" ht="15" customHeight="1" x14ac:dyDescent="0.2">
      <c r="A99" s="76">
        <v>6</v>
      </c>
      <c r="B99" s="76"/>
      <c r="C99" s="76"/>
      <c r="D99" s="76"/>
    </row>
    <row r="100" spans="1:4" ht="15" customHeight="1" x14ac:dyDescent="0.2">
      <c r="A100" s="76" t="s">
        <v>133</v>
      </c>
      <c r="B100" s="76"/>
      <c r="C100" s="76"/>
      <c r="D100" s="76"/>
    </row>
    <row r="101" spans="1:4" ht="15" customHeight="1" x14ac:dyDescent="0.2">
      <c r="A101" s="76" t="s">
        <v>134</v>
      </c>
      <c r="B101" s="76"/>
      <c r="C101" s="76"/>
      <c r="D101" s="76"/>
    </row>
    <row r="102" spans="1:4" x14ac:dyDescent="0.2">
      <c r="A102" s="9"/>
      <c r="B102" s="9" t="s">
        <v>4</v>
      </c>
      <c r="C102" s="10"/>
      <c r="D102" s="5"/>
    </row>
    <row r="103" spans="1:4" ht="25.5" x14ac:dyDescent="0.2">
      <c r="A103" s="20">
        <v>6.1</v>
      </c>
      <c r="B103" s="4" t="s">
        <v>135</v>
      </c>
      <c r="C103" s="21">
        <f>SUM(C104:C106)</f>
        <v>9</v>
      </c>
      <c r="D103" s="48" t="s">
        <v>617</v>
      </c>
    </row>
    <row r="104" spans="1:4" ht="25.5" x14ac:dyDescent="0.2">
      <c r="A104" s="13" t="s">
        <v>7</v>
      </c>
      <c r="B104" s="2" t="s">
        <v>136</v>
      </c>
      <c r="C104" s="12">
        <v>3</v>
      </c>
      <c r="D104" s="51" t="s">
        <v>137</v>
      </c>
    </row>
    <row r="105" spans="1:4" x14ac:dyDescent="0.2">
      <c r="A105" s="13" t="s">
        <v>10</v>
      </c>
      <c r="B105" s="2" t="s">
        <v>138</v>
      </c>
      <c r="C105" s="12">
        <v>3</v>
      </c>
      <c r="D105" s="51" t="s">
        <v>139</v>
      </c>
    </row>
    <row r="106" spans="1:4" ht="25.5" x14ac:dyDescent="0.2">
      <c r="A106" s="13" t="s">
        <v>13</v>
      </c>
      <c r="B106" s="2" t="s">
        <v>140</v>
      </c>
      <c r="C106" s="12">
        <v>3</v>
      </c>
      <c r="D106" s="51" t="s">
        <v>141</v>
      </c>
    </row>
    <row r="107" spans="1:4" x14ac:dyDescent="0.2">
      <c r="A107" s="22"/>
      <c r="C107" s="23"/>
    </row>
    <row r="108" spans="1:4" ht="15" customHeight="1" x14ac:dyDescent="0.2">
      <c r="A108" s="76">
        <v>7</v>
      </c>
      <c r="B108" s="76"/>
      <c r="C108" s="76"/>
      <c r="D108" s="76"/>
    </row>
    <row r="109" spans="1:4" ht="15" customHeight="1" x14ac:dyDescent="0.2">
      <c r="A109" s="76" t="s">
        <v>142</v>
      </c>
      <c r="B109" s="76"/>
      <c r="C109" s="76"/>
      <c r="D109" s="76"/>
    </row>
    <row r="110" spans="1:4" ht="15" customHeight="1" x14ac:dyDescent="0.2">
      <c r="A110" s="76" t="s">
        <v>143</v>
      </c>
      <c r="B110" s="76"/>
      <c r="C110" s="76"/>
      <c r="D110" s="76"/>
    </row>
    <row r="111" spans="1:4" x14ac:dyDescent="0.2">
      <c r="A111" s="76"/>
      <c r="B111" s="76" t="s">
        <v>4</v>
      </c>
      <c r="C111" s="77"/>
      <c r="D111" s="5"/>
    </row>
    <row r="112" spans="1:4" x14ac:dyDescent="0.2">
      <c r="A112" s="76"/>
      <c r="B112" s="76"/>
      <c r="C112" s="77"/>
      <c r="D112" s="5"/>
    </row>
    <row r="113" spans="1:4" x14ac:dyDescent="0.2">
      <c r="A113" s="9">
        <v>7.1</v>
      </c>
      <c r="B113" s="17" t="s">
        <v>144</v>
      </c>
      <c r="C113" s="10">
        <f>SUM(C114:C115)</f>
        <v>15</v>
      </c>
      <c r="D113" s="48" t="s">
        <v>617</v>
      </c>
    </row>
    <row r="114" spans="1:4" ht="38.25" x14ac:dyDescent="0.2">
      <c r="A114" s="12" t="s">
        <v>7</v>
      </c>
      <c r="B114" s="24" t="s">
        <v>145</v>
      </c>
      <c r="C114" s="12">
        <v>10</v>
      </c>
      <c r="D114" s="51" t="s">
        <v>146</v>
      </c>
    </row>
    <row r="115" spans="1:4" x14ac:dyDescent="0.2">
      <c r="A115" s="12" t="s">
        <v>10</v>
      </c>
      <c r="B115" s="15" t="s">
        <v>147</v>
      </c>
      <c r="C115" s="12">
        <v>5</v>
      </c>
      <c r="D115" s="51" t="s">
        <v>148</v>
      </c>
    </row>
    <row r="116" spans="1:4" ht="25.5" x14ac:dyDescent="0.2">
      <c r="A116" s="10">
        <v>7.2</v>
      </c>
      <c r="B116" s="11" t="s">
        <v>149</v>
      </c>
      <c r="C116" s="10">
        <f>SUM(C117:C121)</f>
        <v>25</v>
      </c>
      <c r="D116" s="5"/>
    </row>
    <row r="117" spans="1:4" x14ac:dyDescent="0.2">
      <c r="A117" s="12" t="s">
        <v>7</v>
      </c>
      <c r="B117" s="15" t="s">
        <v>150</v>
      </c>
      <c r="C117" s="12">
        <v>5</v>
      </c>
      <c r="D117" s="51" t="s">
        <v>151</v>
      </c>
    </row>
    <row r="118" spans="1:4" x14ac:dyDescent="0.2">
      <c r="A118" s="12" t="s">
        <v>10</v>
      </c>
      <c r="B118" s="15" t="s">
        <v>152</v>
      </c>
      <c r="C118" s="12">
        <v>5</v>
      </c>
      <c r="D118" s="51" t="s">
        <v>151</v>
      </c>
    </row>
    <row r="119" spans="1:4" x14ac:dyDescent="0.2">
      <c r="A119" s="12" t="s">
        <v>13</v>
      </c>
      <c r="B119" s="15" t="s">
        <v>153</v>
      </c>
      <c r="C119" s="12">
        <v>5</v>
      </c>
      <c r="D119" s="51" t="s">
        <v>151</v>
      </c>
    </row>
    <row r="120" spans="1:4" x14ac:dyDescent="0.2">
      <c r="A120" s="12" t="s">
        <v>16</v>
      </c>
      <c r="B120" s="15" t="s">
        <v>154</v>
      </c>
      <c r="C120" s="12">
        <v>5</v>
      </c>
      <c r="D120" s="51" t="s">
        <v>151</v>
      </c>
    </row>
    <row r="121" spans="1:4" x14ac:dyDescent="0.2">
      <c r="A121" s="12" t="s">
        <v>112</v>
      </c>
      <c r="B121" s="15" t="s">
        <v>155</v>
      </c>
      <c r="C121" s="12">
        <v>5</v>
      </c>
      <c r="D121" s="51" t="s">
        <v>151</v>
      </c>
    </row>
    <row r="122" spans="1:4" ht="25.5" x14ac:dyDescent="0.2">
      <c r="A122" s="14">
        <v>7.3</v>
      </c>
      <c r="B122" s="11" t="s">
        <v>156</v>
      </c>
      <c r="C122" s="10">
        <f>SUM(C123:C124)</f>
        <v>10</v>
      </c>
      <c r="D122" s="5"/>
    </row>
    <row r="123" spans="1:4" ht="25.5" x14ac:dyDescent="0.2">
      <c r="A123" s="13" t="s">
        <v>7</v>
      </c>
      <c r="B123" s="15" t="s">
        <v>157</v>
      </c>
      <c r="C123" s="12">
        <v>5</v>
      </c>
      <c r="D123" s="51" t="s">
        <v>158</v>
      </c>
    </row>
    <row r="124" spans="1:4" ht="25.5" x14ac:dyDescent="0.2">
      <c r="A124" s="13" t="s">
        <v>10</v>
      </c>
      <c r="B124" s="15" t="s">
        <v>159</v>
      </c>
      <c r="C124" s="12">
        <v>5</v>
      </c>
      <c r="D124" s="51" t="s">
        <v>158</v>
      </c>
    </row>
    <row r="125" spans="1:4" x14ac:dyDescent="0.2">
      <c r="A125" s="25">
        <v>7.4</v>
      </c>
      <c r="B125" s="11" t="s">
        <v>160</v>
      </c>
      <c r="C125" s="10">
        <f>SUM(C126:C127)</f>
        <v>20</v>
      </c>
      <c r="D125" s="5"/>
    </row>
    <row r="126" spans="1:4" ht="38.25" x14ac:dyDescent="0.2">
      <c r="A126" s="13" t="s">
        <v>7</v>
      </c>
      <c r="B126" s="24" t="s">
        <v>161</v>
      </c>
      <c r="C126" s="12">
        <v>10</v>
      </c>
      <c r="D126" s="51" t="s">
        <v>162</v>
      </c>
    </row>
    <row r="127" spans="1:4" ht="38.25" x14ac:dyDescent="0.2">
      <c r="A127" s="13" t="s">
        <v>10</v>
      </c>
      <c r="B127" s="24" t="s">
        <v>163</v>
      </c>
      <c r="C127" s="12">
        <v>10</v>
      </c>
      <c r="D127" s="51" t="s">
        <v>162</v>
      </c>
    </row>
    <row r="128" spans="1:4" x14ac:dyDescent="0.2">
      <c r="A128" s="89"/>
      <c r="B128" s="90"/>
    </row>
    <row r="129" spans="1:4" ht="15" customHeight="1" x14ac:dyDescent="0.2">
      <c r="A129" s="76">
        <v>8</v>
      </c>
      <c r="B129" s="76"/>
      <c r="C129" s="76"/>
      <c r="D129" s="76"/>
    </row>
    <row r="130" spans="1:4" ht="15" customHeight="1" x14ac:dyDescent="0.2">
      <c r="A130" s="76" t="s">
        <v>164</v>
      </c>
      <c r="B130" s="76"/>
      <c r="C130" s="76"/>
      <c r="D130" s="76"/>
    </row>
    <row r="131" spans="1:4" ht="15" customHeight="1" x14ac:dyDescent="0.2">
      <c r="A131" s="76" t="s">
        <v>165</v>
      </c>
      <c r="B131" s="76"/>
      <c r="C131" s="76"/>
      <c r="D131" s="76"/>
    </row>
    <row r="132" spans="1:4" x14ac:dyDescent="0.2">
      <c r="A132" s="76"/>
      <c r="B132" s="76" t="s">
        <v>4</v>
      </c>
      <c r="C132" s="77"/>
      <c r="D132" s="5"/>
    </row>
    <row r="133" spans="1:4" x14ac:dyDescent="0.2">
      <c r="A133" s="76"/>
      <c r="B133" s="76"/>
      <c r="C133" s="77"/>
      <c r="D133" s="5"/>
    </row>
    <row r="134" spans="1:4" ht="25.5" x14ac:dyDescent="0.2">
      <c r="A134" s="9">
        <v>8.1</v>
      </c>
      <c r="B134" s="11" t="s">
        <v>166</v>
      </c>
      <c r="C134" s="10">
        <f>SUM(C135:C139)</f>
        <v>17</v>
      </c>
      <c r="D134" s="48" t="s">
        <v>617</v>
      </c>
    </row>
    <row r="135" spans="1:4" ht="25.5" x14ac:dyDescent="0.2">
      <c r="A135" s="12" t="s">
        <v>7</v>
      </c>
      <c r="B135" s="15" t="s">
        <v>168</v>
      </c>
      <c r="C135" s="12">
        <v>3</v>
      </c>
      <c r="D135" s="51" t="s">
        <v>167</v>
      </c>
    </row>
    <row r="136" spans="1:4" x14ac:dyDescent="0.2">
      <c r="A136" s="12" t="s">
        <v>10</v>
      </c>
      <c r="B136" s="2" t="s">
        <v>170</v>
      </c>
      <c r="C136" s="12">
        <v>3</v>
      </c>
      <c r="D136" s="51" t="s">
        <v>169</v>
      </c>
    </row>
    <row r="137" spans="1:4" ht="25.5" x14ac:dyDescent="0.2">
      <c r="A137" s="12" t="s">
        <v>13</v>
      </c>
      <c r="B137" s="2" t="s">
        <v>172</v>
      </c>
      <c r="C137" s="12">
        <v>3</v>
      </c>
      <c r="D137" s="51" t="s">
        <v>171</v>
      </c>
    </row>
    <row r="138" spans="1:4" ht="38.25" x14ac:dyDescent="0.2">
      <c r="A138" s="12" t="s">
        <v>16</v>
      </c>
      <c r="B138" s="2" t="s">
        <v>174</v>
      </c>
      <c r="C138" s="12">
        <v>3</v>
      </c>
      <c r="D138" s="51" t="s">
        <v>173</v>
      </c>
    </row>
    <row r="139" spans="1:4" ht="25.5" x14ac:dyDescent="0.2">
      <c r="A139" s="12" t="s">
        <v>112</v>
      </c>
      <c r="B139" s="2" t="s">
        <v>175</v>
      </c>
      <c r="C139" s="12">
        <v>5</v>
      </c>
      <c r="D139" s="51" t="s">
        <v>158</v>
      </c>
    </row>
    <row r="140" spans="1:4" x14ac:dyDescent="0.2">
      <c r="A140" s="10">
        <v>8.1999999999999993</v>
      </c>
      <c r="B140" s="17" t="s">
        <v>176</v>
      </c>
      <c r="C140" s="10">
        <f>SUM(C141:C142)</f>
        <v>10</v>
      </c>
      <c r="D140" s="5"/>
    </row>
    <row r="141" spans="1:4" ht="25.5" x14ac:dyDescent="0.2">
      <c r="A141" s="12" t="s">
        <v>7</v>
      </c>
      <c r="B141" s="2" t="s">
        <v>178</v>
      </c>
      <c r="C141" s="12">
        <v>5</v>
      </c>
      <c r="D141" s="51" t="s">
        <v>177</v>
      </c>
    </row>
    <row r="142" spans="1:4" ht="25.5" x14ac:dyDescent="0.2">
      <c r="A142" s="12" t="s">
        <v>10</v>
      </c>
      <c r="B142" s="2" t="s">
        <v>179</v>
      </c>
      <c r="C142" s="12">
        <v>5</v>
      </c>
      <c r="D142" s="51" t="s">
        <v>596</v>
      </c>
    </row>
    <row r="143" spans="1:4" x14ac:dyDescent="0.2">
      <c r="A143" s="78"/>
      <c r="B143" s="78"/>
    </row>
    <row r="144" spans="1:4" ht="15" customHeight="1" x14ac:dyDescent="0.2">
      <c r="A144" s="76">
        <v>9</v>
      </c>
      <c r="B144" s="76"/>
      <c r="C144" s="76"/>
      <c r="D144" s="76"/>
    </row>
    <row r="145" spans="1:4" ht="15" customHeight="1" x14ac:dyDescent="0.2">
      <c r="A145" s="76" t="s">
        <v>180</v>
      </c>
      <c r="B145" s="76"/>
      <c r="C145" s="76"/>
      <c r="D145" s="76"/>
    </row>
    <row r="146" spans="1:4" ht="15" customHeight="1" x14ac:dyDescent="0.2">
      <c r="A146" s="76" t="s">
        <v>181</v>
      </c>
      <c r="B146" s="76"/>
      <c r="C146" s="76"/>
      <c r="D146" s="76"/>
    </row>
    <row r="147" spans="1:4" x14ac:dyDescent="0.2">
      <c r="A147" s="76"/>
      <c r="B147" s="76" t="s">
        <v>4</v>
      </c>
      <c r="C147" s="77"/>
      <c r="D147" s="5"/>
    </row>
    <row r="148" spans="1:4" x14ac:dyDescent="0.2">
      <c r="A148" s="76"/>
      <c r="B148" s="76"/>
      <c r="C148" s="77"/>
      <c r="D148" s="5"/>
    </row>
    <row r="149" spans="1:4" x14ac:dyDescent="0.2">
      <c r="A149" s="9">
        <v>9.1</v>
      </c>
      <c r="B149" s="17" t="s">
        <v>182</v>
      </c>
      <c r="C149" s="10">
        <f>SUM(C150:C153)</f>
        <v>12</v>
      </c>
      <c r="D149" s="48" t="s">
        <v>617</v>
      </c>
    </row>
    <row r="150" spans="1:4" x14ac:dyDescent="0.2">
      <c r="A150" s="26" t="s">
        <v>7</v>
      </c>
      <c r="B150" s="2" t="s">
        <v>183</v>
      </c>
      <c r="C150" s="12">
        <v>3</v>
      </c>
      <c r="D150" s="51" t="s">
        <v>184</v>
      </c>
    </row>
    <row r="151" spans="1:4" ht="38.25" x14ac:dyDescent="0.2">
      <c r="A151" s="12" t="s">
        <v>10</v>
      </c>
      <c r="B151" s="2" t="s">
        <v>185</v>
      </c>
      <c r="C151" s="12">
        <v>3</v>
      </c>
      <c r="D151" s="51" t="s">
        <v>186</v>
      </c>
    </row>
    <row r="152" spans="1:4" ht="25.5" x14ac:dyDescent="0.2">
      <c r="A152" s="12" t="s">
        <v>13</v>
      </c>
      <c r="B152" s="2" t="s">
        <v>187</v>
      </c>
      <c r="C152" s="12">
        <v>3</v>
      </c>
      <c r="D152" s="51" t="s">
        <v>188</v>
      </c>
    </row>
    <row r="153" spans="1:4" ht="38.25" x14ac:dyDescent="0.2">
      <c r="A153" s="26" t="s">
        <v>16</v>
      </c>
      <c r="B153" s="2" t="s">
        <v>189</v>
      </c>
      <c r="C153" s="12">
        <v>3</v>
      </c>
      <c r="D153" s="51" t="s">
        <v>190</v>
      </c>
    </row>
    <row r="154" spans="1:4" ht="38.25" x14ac:dyDescent="0.2">
      <c r="A154" s="14">
        <v>9.1999999999999993</v>
      </c>
      <c r="B154" s="11" t="s">
        <v>191</v>
      </c>
      <c r="C154" s="10">
        <f>SUM(C155:C158)</f>
        <v>21</v>
      </c>
      <c r="D154" s="5"/>
    </row>
    <row r="155" spans="1:4" ht="25.5" x14ac:dyDescent="0.2">
      <c r="A155" s="12" t="s">
        <v>7</v>
      </c>
      <c r="B155" s="2" t="s">
        <v>192</v>
      </c>
      <c r="C155" s="12">
        <v>3</v>
      </c>
      <c r="D155" s="51" t="s">
        <v>597</v>
      </c>
    </row>
    <row r="156" spans="1:4" ht="25.5" x14ac:dyDescent="0.2">
      <c r="A156" s="12" t="s">
        <v>10</v>
      </c>
      <c r="B156" s="2" t="s">
        <v>193</v>
      </c>
      <c r="C156" s="12">
        <v>5</v>
      </c>
      <c r="D156" s="51" t="s">
        <v>194</v>
      </c>
    </row>
    <row r="157" spans="1:4" x14ac:dyDescent="0.2">
      <c r="A157" s="12" t="s">
        <v>13</v>
      </c>
      <c r="B157" s="2" t="s">
        <v>195</v>
      </c>
      <c r="C157" s="12">
        <v>3</v>
      </c>
      <c r="D157" s="51" t="s">
        <v>196</v>
      </c>
    </row>
    <row r="158" spans="1:4" ht="25.5" x14ac:dyDescent="0.2">
      <c r="A158" s="12" t="s">
        <v>16</v>
      </c>
      <c r="B158" s="19" t="s">
        <v>598</v>
      </c>
      <c r="C158" s="12">
        <v>10</v>
      </c>
      <c r="D158" s="51" t="s">
        <v>197</v>
      </c>
    </row>
    <row r="159" spans="1:4" x14ac:dyDescent="0.2">
      <c r="A159" s="10">
        <v>9.3000000000000007</v>
      </c>
      <c r="B159" s="11" t="s">
        <v>198</v>
      </c>
      <c r="C159" s="10">
        <f>SUM(C160:C163)</f>
        <v>30</v>
      </c>
      <c r="D159" s="5"/>
    </row>
    <row r="160" spans="1:4" ht="25.5" x14ac:dyDescent="0.2">
      <c r="A160" s="12" t="s">
        <v>7</v>
      </c>
      <c r="B160" s="27" t="s">
        <v>199</v>
      </c>
      <c r="C160" s="12">
        <v>5</v>
      </c>
      <c r="D160" s="51" t="s">
        <v>200</v>
      </c>
    </row>
    <row r="161" spans="1:4" ht="25.5" x14ac:dyDescent="0.2">
      <c r="A161" s="12" t="s">
        <v>10</v>
      </c>
      <c r="B161" s="27" t="s">
        <v>201</v>
      </c>
      <c r="C161" s="12">
        <v>5</v>
      </c>
      <c r="D161" s="51" t="s">
        <v>200</v>
      </c>
    </row>
    <row r="162" spans="1:4" ht="25.5" x14ac:dyDescent="0.2">
      <c r="A162" s="12" t="s">
        <v>13</v>
      </c>
      <c r="B162" s="27" t="s">
        <v>202</v>
      </c>
      <c r="C162" s="12">
        <v>10</v>
      </c>
      <c r="D162" s="51" t="s">
        <v>200</v>
      </c>
    </row>
    <row r="163" spans="1:4" ht="38.25" x14ac:dyDescent="0.2">
      <c r="A163" s="12" t="s">
        <v>16</v>
      </c>
      <c r="B163" s="27" t="s">
        <v>203</v>
      </c>
      <c r="C163" s="12">
        <v>10</v>
      </c>
      <c r="D163" s="51" t="s">
        <v>200</v>
      </c>
    </row>
    <row r="164" spans="1:4" ht="25.5" x14ac:dyDescent="0.2">
      <c r="A164" s="9">
        <v>9.4</v>
      </c>
      <c r="B164" s="11" t="s">
        <v>204</v>
      </c>
      <c r="C164" s="10">
        <f>SUM(C165:C170)</f>
        <v>22</v>
      </c>
      <c r="D164" s="5"/>
    </row>
    <row r="165" spans="1:4" x14ac:dyDescent="0.2">
      <c r="A165" s="28" t="s">
        <v>7</v>
      </c>
      <c r="B165" s="27" t="s">
        <v>205</v>
      </c>
      <c r="C165" s="12">
        <v>3</v>
      </c>
      <c r="D165" s="51" t="s">
        <v>206</v>
      </c>
    </row>
    <row r="166" spans="1:4" x14ac:dyDescent="0.2">
      <c r="A166" s="28" t="s">
        <v>10</v>
      </c>
      <c r="B166" s="27" t="s">
        <v>207</v>
      </c>
      <c r="C166" s="12">
        <v>3</v>
      </c>
      <c r="D166" s="51" t="s">
        <v>208</v>
      </c>
    </row>
    <row r="167" spans="1:4" x14ac:dyDescent="0.2">
      <c r="A167" s="28" t="s">
        <v>13</v>
      </c>
      <c r="B167" s="27" t="s">
        <v>209</v>
      </c>
      <c r="C167" s="12">
        <v>3</v>
      </c>
      <c r="D167" s="51" t="s">
        <v>210</v>
      </c>
    </row>
    <row r="168" spans="1:4" ht="25.5" x14ac:dyDescent="0.2">
      <c r="A168" s="28" t="s">
        <v>16</v>
      </c>
      <c r="B168" s="27" t="s">
        <v>211</v>
      </c>
      <c r="C168" s="12">
        <v>3</v>
      </c>
      <c r="D168" s="51" t="s">
        <v>212</v>
      </c>
    </row>
    <row r="169" spans="1:4" ht="25.5" x14ac:dyDescent="0.2">
      <c r="A169" s="28" t="s">
        <v>112</v>
      </c>
      <c r="B169" s="29" t="s">
        <v>213</v>
      </c>
      <c r="C169" s="12">
        <v>5</v>
      </c>
      <c r="D169" s="51" t="s">
        <v>214</v>
      </c>
    </row>
    <row r="170" spans="1:4" ht="25.5" x14ac:dyDescent="0.2">
      <c r="A170" s="26" t="s">
        <v>215</v>
      </c>
      <c r="B170" s="2" t="s">
        <v>216</v>
      </c>
      <c r="C170" s="12">
        <v>5</v>
      </c>
      <c r="D170" s="51" t="s">
        <v>217</v>
      </c>
    </row>
    <row r="171" spans="1:4" x14ac:dyDescent="0.2">
      <c r="A171" s="9">
        <v>9.5</v>
      </c>
      <c r="B171" s="11" t="s">
        <v>218</v>
      </c>
      <c r="C171" s="10">
        <f>SUM(C172:C174)</f>
        <v>15</v>
      </c>
      <c r="D171" s="5"/>
    </row>
    <row r="172" spans="1:4" ht="25.5" x14ac:dyDescent="0.2">
      <c r="A172" s="12" t="s">
        <v>7</v>
      </c>
      <c r="B172" s="2" t="s">
        <v>219</v>
      </c>
      <c r="C172" s="12">
        <v>5</v>
      </c>
      <c r="D172" s="51" t="s">
        <v>596</v>
      </c>
    </row>
    <row r="173" spans="1:4" ht="25.5" x14ac:dyDescent="0.2">
      <c r="A173" s="12" t="s">
        <v>10</v>
      </c>
      <c r="B173" s="2" t="s">
        <v>220</v>
      </c>
      <c r="C173" s="12">
        <v>5</v>
      </c>
      <c r="D173" s="51" t="s">
        <v>221</v>
      </c>
    </row>
    <row r="174" spans="1:4" ht="25.5" x14ac:dyDescent="0.2">
      <c r="A174" s="12" t="s">
        <v>13</v>
      </c>
      <c r="B174" s="2" t="s">
        <v>222</v>
      </c>
      <c r="C174" s="12">
        <v>5</v>
      </c>
      <c r="D174" s="51" t="s">
        <v>223</v>
      </c>
    </row>
    <row r="176" spans="1:4" ht="15" customHeight="1" x14ac:dyDescent="0.2">
      <c r="A176" s="76">
        <v>10</v>
      </c>
      <c r="B176" s="76"/>
      <c r="C176" s="76"/>
      <c r="D176" s="76"/>
    </row>
    <row r="177" spans="1:4" ht="15" customHeight="1" x14ac:dyDescent="0.2">
      <c r="A177" s="76" t="s">
        <v>224</v>
      </c>
      <c r="B177" s="76"/>
      <c r="C177" s="76"/>
      <c r="D177" s="76"/>
    </row>
    <row r="178" spans="1:4" ht="15" customHeight="1" x14ac:dyDescent="0.2">
      <c r="A178" s="76" t="s">
        <v>225</v>
      </c>
      <c r="B178" s="76"/>
      <c r="C178" s="76"/>
      <c r="D178" s="76"/>
    </row>
    <row r="179" spans="1:4" x14ac:dyDescent="0.2">
      <c r="A179" s="76"/>
      <c r="B179" s="76" t="s">
        <v>4</v>
      </c>
      <c r="C179" s="77"/>
      <c r="D179" s="5"/>
    </row>
    <row r="180" spans="1:4" x14ac:dyDescent="0.2">
      <c r="A180" s="76"/>
      <c r="B180" s="76"/>
      <c r="C180" s="77"/>
      <c r="D180" s="5"/>
    </row>
    <row r="181" spans="1:4" ht="25.5" x14ac:dyDescent="0.2">
      <c r="A181" s="9">
        <v>10.1</v>
      </c>
      <c r="B181" s="17" t="s">
        <v>226</v>
      </c>
      <c r="C181" s="10">
        <f>SUM(C182:C183)</f>
        <v>6</v>
      </c>
      <c r="D181" s="48" t="s">
        <v>617</v>
      </c>
    </row>
    <row r="182" spans="1:4" x14ac:dyDescent="0.2">
      <c r="A182" s="26" t="s">
        <v>7</v>
      </c>
      <c r="B182" s="29" t="s">
        <v>227</v>
      </c>
      <c r="C182" s="12">
        <v>3</v>
      </c>
      <c r="D182" s="51" t="s">
        <v>228</v>
      </c>
    </row>
    <row r="183" spans="1:4" ht="25.5" x14ac:dyDescent="0.2">
      <c r="A183" s="26" t="s">
        <v>10</v>
      </c>
      <c r="B183" s="29" t="s">
        <v>229</v>
      </c>
      <c r="C183" s="12">
        <v>3</v>
      </c>
      <c r="D183" s="59" t="s">
        <v>230</v>
      </c>
    </row>
    <row r="184" spans="1:4" x14ac:dyDescent="0.2">
      <c r="A184" s="30"/>
      <c r="B184" s="2"/>
      <c r="C184" s="30"/>
      <c r="D184" s="2"/>
    </row>
    <row r="185" spans="1:4" ht="15" customHeight="1" x14ac:dyDescent="0.2">
      <c r="A185" s="79">
        <v>11</v>
      </c>
      <c r="B185" s="80"/>
      <c r="C185" s="80"/>
      <c r="D185" s="81"/>
    </row>
    <row r="186" spans="1:4" ht="15" customHeight="1" x14ac:dyDescent="0.2">
      <c r="A186" s="79" t="s">
        <v>224</v>
      </c>
      <c r="B186" s="80"/>
      <c r="C186" s="80"/>
      <c r="D186" s="81"/>
    </row>
    <row r="187" spans="1:4" ht="15" customHeight="1" x14ac:dyDescent="0.2">
      <c r="A187" s="79" t="s">
        <v>231</v>
      </c>
      <c r="B187" s="80"/>
      <c r="C187" s="80"/>
      <c r="D187" s="81"/>
    </row>
    <row r="188" spans="1:4" x14ac:dyDescent="0.2">
      <c r="A188" s="76"/>
      <c r="B188" s="76" t="s">
        <v>4</v>
      </c>
      <c r="C188" s="77"/>
      <c r="D188" s="5"/>
    </row>
    <row r="189" spans="1:4" x14ac:dyDescent="0.2">
      <c r="A189" s="76"/>
      <c r="B189" s="76"/>
      <c r="C189" s="77"/>
      <c r="D189" s="5"/>
    </row>
    <row r="190" spans="1:4" ht="25.5" x14ac:dyDescent="0.2">
      <c r="A190" s="9">
        <v>11.1</v>
      </c>
      <c r="B190" s="17" t="s">
        <v>232</v>
      </c>
      <c r="C190" s="10">
        <f>SUM(C191:C194)</f>
        <v>16</v>
      </c>
      <c r="D190" s="48" t="s">
        <v>617</v>
      </c>
    </row>
    <row r="191" spans="1:4" x14ac:dyDescent="0.2">
      <c r="A191" s="26" t="s">
        <v>7</v>
      </c>
      <c r="B191" s="29" t="s">
        <v>233</v>
      </c>
      <c r="C191" s="12">
        <v>3</v>
      </c>
      <c r="D191" s="51" t="s">
        <v>234</v>
      </c>
    </row>
    <row r="192" spans="1:4" ht="38.25" x14ac:dyDescent="0.2">
      <c r="A192" s="26" t="s">
        <v>10</v>
      </c>
      <c r="B192" s="29" t="s">
        <v>235</v>
      </c>
      <c r="C192" s="12">
        <v>5</v>
      </c>
      <c r="D192" s="59" t="s">
        <v>236</v>
      </c>
    </row>
    <row r="193" spans="1:34" ht="25.5" x14ac:dyDescent="0.2">
      <c r="A193" s="26" t="s">
        <v>13</v>
      </c>
      <c r="B193" s="29" t="s">
        <v>237</v>
      </c>
      <c r="C193" s="12">
        <v>5</v>
      </c>
      <c r="D193" s="59" t="s">
        <v>238</v>
      </c>
    </row>
    <row r="194" spans="1:34" ht="38.25" x14ac:dyDescent="0.2">
      <c r="A194" s="26" t="s">
        <v>16</v>
      </c>
      <c r="B194" s="29" t="s">
        <v>599</v>
      </c>
      <c r="C194" s="12">
        <v>3</v>
      </c>
      <c r="D194" s="59" t="s">
        <v>599</v>
      </c>
    </row>
    <row r="195" spans="1:34" x14ac:dyDescent="0.2">
      <c r="A195" s="31"/>
      <c r="B195" s="32"/>
      <c r="C195" s="23"/>
      <c r="D195" s="32"/>
    </row>
    <row r="196" spans="1:34" ht="15" customHeight="1" x14ac:dyDescent="0.2">
      <c r="A196" s="79">
        <v>12</v>
      </c>
      <c r="B196" s="80"/>
      <c r="C196" s="80"/>
      <c r="D196" s="81"/>
    </row>
    <row r="197" spans="1:34" ht="15" customHeight="1" x14ac:dyDescent="0.2">
      <c r="A197" s="82" t="s">
        <v>239</v>
      </c>
      <c r="B197" s="83"/>
      <c r="C197" s="83"/>
      <c r="D197" s="84"/>
    </row>
    <row r="198" spans="1:34" ht="15" customHeight="1" x14ac:dyDescent="0.2">
      <c r="A198" s="76" t="s">
        <v>240</v>
      </c>
      <c r="B198" s="76"/>
      <c r="C198" s="76"/>
      <c r="D198" s="79"/>
      <c r="E198" s="65" t="s">
        <v>618</v>
      </c>
      <c r="F198" s="66"/>
      <c r="G198" s="67"/>
      <c r="H198" s="68" t="s">
        <v>619</v>
      </c>
      <c r="I198" s="68"/>
      <c r="J198" s="68"/>
      <c r="K198" s="72" t="s">
        <v>620</v>
      </c>
      <c r="L198" s="73"/>
      <c r="M198" s="74"/>
      <c r="N198" s="62" t="s">
        <v>621</v>
      </c>
      <c r="O198" s="63"/>
      <c r="P198" s="64"/>
      <c r="Q198" s="62" t="s">
        <v>622</v>
      </c>
      <c r="R198" s="63"/>
      <c r="S198" s="64"/>
      <c r="T198" s="62" t="s">
        <v>623</v>
      </c>
      <c r="U198" s="63"/>
      <c r="V198" s="64"/>
      <c r="W198" s="62" t="s">
        <v>624</v>
      </c>
      <c r="X198" s="63"/>
      <c r="Y198" s="64"/>
      <c r="Z198" s="62" t="s">
        <v>625</v>
      </c>
      <c r="AA198" s="63"/>
      <c r="AB198" s="64"/>
      <c r="AC198" s="62" t="s">
        <v>626</v>
      </c>
      <c r="AD198" s="63"/>
      <c r="AE198" s="64"/>
      <c r="AF198" s="62" t="s">
        <v>630</v>
      </c>
      <c r="AG198" s="63"/>
      <c r="AH198" s="64"/>
    </row>
    <row r="199" spans="1:34" ht="15" customHeight="1" x14ac:dyDescent="0.2">
      <c r="A199" s="76"/>
      <c r="B199" s="76" t="s">
        <v>4</v>
      </c>
      <c r="C199" s="77"/>
      <c r="D199" s="56"/>
      <c r="E199" s="65" t="s">
        <v>627</v>
      </c>
      <c r="F199" s="66"/>
      <c r="G199" s="67"/>
      <c r="H199" s="68" t="s">
        <v>627</v>
      </c>
      <c r="I199" s="68"/>
      <c r="J199" s="68"/>
      <c r="K199" s="69" t="s">
        <v>627</v>
      </c>
      <c r="L199" s="70"/>
      <c r="M199" s="71"/>
      <c r="N199" s="62" t="s">
        <v>627</v>
      </c>
      <c r="O199" s="63"/>
      <c r="P199" s="64"/>
      <c r="Q199" s="62" t="s">
        <v>627</v>
      </c>
      <c r="R199" s="63"/>
      <c r="S199" s="64"/>
      <c r="T199" s="62" t="s">
        <v>627</v>
      </c>
      <c r="U199" s="63"/>
      <c r="V199" s="64"/>
      <c r="W199" s="62" t="s">
        <v>627</v>
      </c>
      <c r="X199" s="63"/>
      <c r="Y199" s="64"/>
      <c r="Z199" s="62" t="s">
        <v>627</v>
      </c>
      <c r="AA199" s="63"/>
      <c r="AB199" s="64"/>
      <c r="AC199" s="62" t="s">
        <v>627</v>
      </c>
      <c r="AD199" s="63"/>
      <c r="AE199" s="64"/>
      <c r="AF199" s="62" t="s">
        <v>627</v>
      </c>
      <c r="AG199" s="63"/>
      <c r="AH199" s="64"/>
    </row>
    <row r="200" spans="1:34" ht="38.25" x14ac:dyDescent="0.2">
      <c r="A200" s="76"/>
      <c r="B200" s="76"/>
      <c r="C200" s="77"/>
      <c r="D200" s="56"/>
      <c r="E200" s="55"/>
      <c r="F200" s="6"/>
      <c r="G200" s="48" t="s">
        <v>617</v>
      </c>
      <c r="H200" s="6"/>
      <c r="I200" s="6"/>
      <c r="J200" s="48" t="s">
        <v>617</v>
      </c>
      <c r="K200" s="6"/>
      <c r="L200" s="6"/>
      <c r="M200" s="48" t="s">
        <v>617</v>
      </c>
      <c r="N200" s="6"/>
      <c r="O200" s="6"/>
      <c r="P200" s="48" t="s">
        <v>617</v>
      </c>
      <c r="Q200" s="6"/>
      <c r="R200" s="6"/>
      <c r="S200" s="48" t="s">
        <v>617</v>
      </c>
      <c r="T200" s="6"/>
      <c r="U200" s="6"/>
      <c r="V200" s="48" t="s">
        <v>617</v>
      </c>
      <c r="W200" s="6"/>
      <c r="X200" s="6"/>
      <c r="Y200" s="48" t="s">
        <v>617</v>
      </c>
      <c r="Z200" s="6"/>
      <c r="AA200" s="6"/>
      <c r="AB200" s="48" t="s">
        <v>617</v>
      </c>
      <c r="AC200" s="6"/>
      <c r="AD200" s="6"/>
      <c r="AE200" s="48" t="s">
        <v>617</v>
      </c>
      <c r="AF200" s="6"/>
      <c r="AG200" s="6"/>
      <c r="AH200" s="48" t="s">
        <v>617</v>
      </c>
    </row>
    <row r="201" spans="1:34" x14ac:dyDescent="0.2">
      <c r="A201" s="33">
        <v>12</v>
      </c>
      <c r="B201" s="53" t="s">
        <v>241</v>
      </c>
      <c r="C201" s="34">
        <f>SUM(C202:C217)</f>
        <v>49</v>
      </c>
      <c r="D201" s="48" t="s">
        <v>617</v>
      </c>
      <c r="E201" s="57"/>
      <c r="F201" s="58">
        <v>49</v>
      </c>
      <c r="G201" s="58"/>
      <c r="H201" s="57"/>
      <c r="I201" s="58">
        <v>49</v>
      </c>
      <c r="J201" s="58"/>
      <c r="K201" s="57"/>
      <c r="L201" s="58">
        <v>49</v>
      </c>
      <c r="M201" s="58"/>
      <c r="N201" s="57"/>
      <c r="O201" s="58">
        <v>49</v>
      </c>
      <c r="P201" s="58"/>
      <c r="Q201" s="57"/>
      <c r="R201" s="58">
        <v>49</v>
      </c>
      <c r="S201" s="58"/>
      <c r="T201" s="57"/>
      <c r="U201" s="58">
        <v>49</v>
      </c>
      <c r="V201" s="58"/>
      <c r="W201" s="57"/>
      <c r="X201" s="58">
        <v>49</v>
      </c>
      <c r="Y201" s="58"/>
      <c r="Z201" s="57"/>
      <c r="AA201" s="58">
        <v>49</v>
      </c>
      <c r="AB201" s="58"/>
      <c r="AC201" s="57"/>
      <c r="AD201" s="58">
        <v>49</v>
      </c>
      <c r="AE201" s="58"/>
      <c r="AF201" s="57"/>
      <c r="AG201" s="58">
        <v>49</v>
      </c>
      <c r="AH201" s="58"/>
    </row>
    <row r="202" spans="1:34" ht="22.5" customHeight="1" x14ac:dyDescent="0.2">
      <c r="A202" s="26">
        <v>12.1</v>
      </c>
      <c r="B202" s="29" t="s">
        <v>242</v>
      </c>
      <c r="C202" s="12">
        <v>3</v>
      </c>
      <c r="D202" s="51" t="s">
        <v>206</v>
      </c>
      <c r="E202" s="29" t="s">
        <v>242</v>
      </c>
      <c r="F202" s="58">
        <v>3</v>
      </c>
      <c r="G202" s="51" t="s">
        <v>206</v>
      </c>
      <c r="H202" s="29" t="s">
        <v>242</v>
      </c>
      <c r="I202" s="58">
        <v>3</v>
      </c>
      <c r="J202" s="51" t="s">
        <v>206</v>
      </c>
      <c r="K202" s="29" t="s">
        <v>242</v>
      </c>
      <c r="L202" s="58">
        <v>3</v>
      </c>
      <c r="M202" s="51" t="s">
        <v>206</v>
      </c>
      <c r="N202" s="29" t="s">
        <v>242</v>
      </c>
      <c r="O202" s="58">
        <v>3</v>
      </c>
      <c r="P202" s="51" t="s">
        <v>206</v>
      </c>
      <c r="Q202" s="29" t="s">
        <v>242</v>
      </c>
      <c r="R202" s="58">
        <v>3</v>
      </c>
      <c r="S202" s="51" t="s">
        <v>206</v>
      </c>
      <c r="T202" s="29" t="s">
        <v>242</v>
      </c>
      <c r="U202" s="58">
        <v>3</v>
      </c>
      <c r="V202" s="51" t="s">
        <v>206</v>
      </c>
      <c r="W202" s="29" t="s">
        <v>242</v>
      </c>
      <c r="X202" s="58">
        <v>3</v>
      </c>
      <c r="Y202" s="51" t="s">
        <v>206</v>
      </c>
      <c r="Z202" s="29" t="s">
        <v>242</v>
      </c>
      <c r="AA202" s="58">
        <v>3</v>
      </c>
      <c r="AB202" s="51" t="s">
        <v>206</v>
      </c>
      <c r="AC202" s="29" t="s">
        <v>242</v>
      </c>
      <c r="AD202" s="58">
        <v>3</v>
      </c>
      <c r="AE202" s="51" t="s">
        <v>206</v>
      </c>
      <c r="AF202" s="29" t="s">
        <v>242</v>
      </c>
      <c r="AG202" s="58">
        <v>3</v>
      </c>
      <c r="AH202" s="51" t="s">
        <v>206</v>
      </c>
    </row>
    <row r="203" spans="1:34" ht="45" customHeight="1" x14ac:dyDescent="0.2">
      <c r="A203" s="9">
        <v>12.2</v>
      </c>
      <c r="B203" s="17" t="s">
        <v>243</v>
      </c>
      <c r="C203" s="10"/>
      <c r="D203" s="55"/>
      <c r="E203" s="55"/>
      <c r="F203" s="6"/>
      <c r="G203" s="35"/>
      <c r="H203" s="55"/>
      <c r="I203" s="6"/>
      <c r="J203" s="35"/>
      <c r="K203" s="55"/>
      <c r="L203" s="6"/>
      <c r="M203" s="35"/>
      <c r="N203" s="55"/>
      <c r="O203" s="6"/>
      <c r="P203" s="35"/>
      <c r="Q203" s="55"/>
      <c r="R203" s="6"/>
      <c r="S203" s="35"/>
      <c r="T203" s="55"/>
      <c r="U203" s="6"/>
      <c r="V203" s="35"/>
      <c r="W203" s="55"/>
      <c r="X203" s="6"/>
      <c r="Y203" s="35"/>
      <c r="Z203" s="55"/>
      <c r="AA203" s="6"/>
      <c r="AB203" s="35"/>
      <c r="AC203" s="55"/>
      <c r="AD203" s="6"/>
      <c r="AE203" s="35"/>
      <c r="AF203" s="55"/>
      <c r="AG203" s="6"/>
      <c r="AH203" s="35"/>
    </row>
    <row r="204" spans="1:34" ht="45" customHeight="1" x14ac:dyDescent="0.2">
      <c r="A204" s="26" t="s">
        <v>7</v>
      </c>
      <c r="B204" s="29" t="s">
        <v>244</v>
      </c>
      <c r="C204" s="12">
        <v>3</v>
      </c>
      <c r="D204" s="51" t="s">
        <v>245</v>
      </c>
      <c r="E204" s="29" t="s">
        <v>244</v>
      </c>
      <c r="F204" s="58">
        <v>3</v>
      </c>
      <c r="G204" s="51" t="s">
        <v>245</v>
      </c>
      <c r="H204" s="29" t="s">
        <v>244</v>
      </c>
      <c r="I204" s="58">
        <v>3</v>
      </c>
      <c r="J204" s="51" t="s">
        <v>245</v>
      </c>
      <c r="K204" s="29" t="s">
        <v>244</v>
      </c>
      <c r="L204" s="58">
        <v>3</v>
      </c>
      <c r="M204" s="51" t="s">
        <v>245</v>
      </c>
      <c r="N204" s="29" t="s">
        <v>244</v>
      </c>
      <c r="O204" s="58">
        <v>3</v>
      </c>
      <c r="P204" s="51" t="s">
        <v>245</v>
      </c>
      <c r="Q204" s="29" t="s">
        <v>244</v>
      </c>
      <c r="R204" s="58">
        <v>3</v>
      </c>
      <c r="S204" s="51" t="s">
        <v>245</v>
      </c>
      <c r="T204" s="29" t="s">
        <v>244</v>
      </c>
      <c r="U204" s="58">
        <v>3</v>
      </c>
      <c r="V204" s="51" t="s">
        <v>245</v>
      </c>
      <c r="W204" s="29" t="s">
        <v>244</v>
      </c>
      <c r="X204" s="58">
        <v>3</v>
      </c>
      <c r="Y204" s="51" t="s">
        <v>245</v>
      </c>
      <c r="Z204" s="29" t="s">
        <v>244</v>
      </c>
      <c r="AA204" s="58">
        <v>3</v>
      </c>
      <c r="AB204" s="51" t="s">
        <v>245</v>
      </c>
      <c r="AC204" s="29" t="s">
        <v>244</v>
      </c>
      <c r="AD204" s="58">
        <v>3</v>
      </c>
      <c r="AE204" s="51" t="s">
        <v>245</v>
      </c>
      <c r="AF204" s="29" t="s">
        <v>244</v>
      </c>
      <c r="AG204" s="58">
        <v>3</v>
      </c>
      <c r="AH204" s="51" t="s">
        <v>245</v>
      </c>
    </row>
    <row r="205" spans="1:34" ht="45" customHeight="1" x14ac:dyDescent="0.2">
      <c r="A205" s="26" t="s">
        <v>10</v>
      </c>
      <c r="B205" s="29" t="s">
        <v>246</v>
      </c>
      <c r="C205" s="12">
        <v>3</v>
      </c>
      <c r="D205" s="52" t="s">
        <v>246</v>
      </c>
      <c r="E205" s="29" t="s">
        <v>246</v>
      </c>
      <c r="F205" s="58">
        <v>3</v>
      </c>
      <c r="G205" s="52" t="s">
        <v>246</v>
      </c>
      <c r="H205" s="29" t="s">
        <v>246</v>
      </c>
      <c r="I205" s="58">
        <v>3</v>
      </c>
      <c r="J205" s="52" t="s">
        <v>246</v>
      </c>
      <c r="K205" s="29" t="s">
        <v>246</v>
      </c>
      <c r="L205" s="58">
        <v>3</v>
      </c>
      <c r="M205" s="52" t="s">
        <v>246</v>
      </c>
      <c r="N205" s="29" t="s">
        <v>246</v>
      </c>
      <c r="O205" s="58">
        <v>3</v>
      </c>
      <c r="P205" s="52" t="s">
        <v>246</v>
      </c>
      <c r="Q205" s="29" t="s">
        <v>246</v>
      </c>
      <c r="R205" s="58">
        <v>3</v>
      </c>
      <c r="S205" s="52" t="s">
        <v>246</v>
      </c>
      <c r="T205" s="29" t="s">
        <v>246</v>
      </c>
      <c r="U205" s="58">
        <v>3</v>
      </c>
      <c r="V205" s="52" t="s">
        <v>246</v>
      </c>
      <c r="W205" s="29" t="s">
        <v>246</v>
      </c>
      <c r="X205" s="58">
        <v>3</v>
      </c>
      <c r="Y205" s="52" t="s">
        <v>246</v>
      </c>
      <c r="Z205" s="29" t="s">
        <v>246</v>
      </c>
      <c r="AA205" s="58">
        <v>3</v>
      </c>
      <c r="AB205" s="52" t="s">
        <v>246</v>
      </c>
      <c r="AC205" s="29" t="s">
        <v>246</v>
      </c>
      <c r="AD205" s="58">
        <v>3</v>
      </c>
      <c r="AE205" s="52" t="s">
        <v>246</v>
      </c>
      <c r="AF205" s="29" t="s">
        <v>246</v>
      </c>
      <c r="AG205" s="58">
        <v>3</v>
      </c>
      <c r="AH205" s="52" t="s">
        <v>246</v>
      </c>
    </row>
    <row r="206" spans="1:34" ht="45" customHeight="1" x14ac:dyDescent="0.2">
      <c r="A206" s="26">
        <v>12.3</v>
      </c>
      <c r="B206" s="29" t="s">
        <v>247</v>
      </c>
      <c r="C206" s="12">
        <v>3</v>
      </c>
      <c r="D206" s="51" t="s">
        <v>600</v>
      </c>
      <c r="E206" s="29" t="s">
        <v>247</v>
      </c>
      <c r="F206" s="58">
        <v>3</v>
      </c>
      <c r="G206" s="51" t="s">
        <v>600</v>
      </c>
      <c r="H206" s="29" t="s">
        <v>247</v>
      </c>
      <c r="I206" s="58">
        <v>3</v>
      </c>
      <c r="J206" s="51" t="s">
        <v>600</v>
      </c>
      <c r="K206" s="29" t="s">
        <v>247</v>
      </c>
      <c r="L206" s="58">
        <v>3</v>
      </c>
      <c r="M206" s="51" t="s">
        <v>600</v>
      </c>
      <c r="N206" s="29" t="s">
        <v>247</v>
      </c>
      <c r="O206" s="58">
        <v>3</v>
      </c>
      <c r="P206" s="51" t="s">
        <v>600</v>
      </c>
      <c r="Q206" s="29" t="s">
        <v>247</v>
      </c>
      <c r="R206" s="58">
        <v>3</v>
      </c>
      <c r="S206" s="51" t="s">
        <v>600</v>
      </c>
      <c r="T206" s="29" t="s">
        <v>247</v>
      </c>
      <c r="U206" s="58">
        <v>3</v>
      </c>
      <c r="V206" s="51" t="s">
        <v>600</v>
      </c>
      <c r="W206" s="29" t="s">
        <v>247</v>
      </c>
      <c r="X206" s="58">
        <v>3</v>
      </c>
      <c r="Y206" s="51" t="s">
        <v>600</v>
      </c>
      <c r="Z206" s="29" t="s">
        <v>247</v>
      </c>
      <c r="AA206" s="58">
        <v>3</v>
      </c>
      <c r="AB206" s="51" t="s">
        <v>600</v>
      </c>
      <c r="AC206" s="29" t="s">
        <v>247</v>
      </c>
      <c r="AD206" s="58">
        <v>3</v>
      </c>
      <c r="AE206" s="51" t="s">
        <v>600</v>
      </c>
      <c r="AF206" s="29" t="s">
        <v>247</v>
      </c>
      <c r="AG206" s="58">
        <v>3</v>
      </c>
      <c r="AH206" s="51" t="s">
        <v>600</v>
      </c>
    </row>
    <row r="207" spans="1:34" ht="45" customHeight="1" x14ac:dyDescent="0.2">
      <c r="A207" s="26">
        <v>12.4</v>
      </c>
      <c r="B207" s="29" t="s">
        <v>248</v>
      </c>
      <c r="C207" s="12">
        <v>3</v>
      </c>
      <c r="D207" s="52" t="s">
        <v>249</v>
      </c>
      <c r="E207" s="29" t="s">
        <v>248</v>
      </c>
      <c r="F207" s="58">
        <v>3</v>
      </c>
      <c r="G207" s="52" t="s">
        <v>249</v>
      </c>
      <c r="H207" s="29" t="s">
        <v>248</v>
      </c>
      <c r="I207" s="58">
        <v>3</v>
      </c>
      <c r="J207" s="52" t="s">
        <v>249</v>
      </c>
      <c r="K207" s="29" t="s">
        <v>248</v>
      </c>
      <c r="L207" s="58">
        <v>3</v>
      </c>
      <c r="M207" s="52" t="s">
        <v>249</v>
      </c>
      <c r="N207" s="29" t="s">
        <v>248</v>
      </c>
      <c r="O207" s="58">
        <v>3</v>
      </c>
      <c r="P207" s="52" t="s">
        <v>249</v>
      </c>
      <c r="Q207" s="29" t="s">
        <v>248</v>
      </c>
      <c r="R207" s="58">
        <v>3</v>
      </c>
      <c r="S207" s="52" t="s">
        <v>249</v>
      </c>
      <c r="T207" s="29" t="s">
        <v>248</v>
      </c>
      <c r="U207" s="58">
        <v>3</v>
      </c>
      <c r="V207" s="52" t="s">
        <v>249</v>
      </c>
      <c r="W207" s="29" t="s">
        <v>248</v>
      </c>
      <c r="X207" s="58">
        <v>3</v>
      </c>
      <c r="Y207" s="52" t="s">
        <v>249</v>
      </c>
      <c r="Z207" s="29" t="s">
        <v>248</v>
      </c>
      <c r="AA207" s="58">
        <v>3</v>
      </c>
      <c r="AB207" s="52" t="s">
        <v>249</v>
      </c>
      <c r="AC207" s="29" t="s">
        <v>248</v>
      </c>
      <c r="AD207" s="58">
        <v>3</v>
      </c>
      <c r="AE207" s="52" t="s">
        <v>249</v>
      </c>
      <c r="AF207" s="29" t="s">
        <v>248</v>
      </c>
      <c r="AG207" s="58">
        <v>3</v>
      </c>
      <c r="AH207" s="52" t="s">
        <v>249</v>
      </c>
    </row>
    <row r="208" spans="1:34" ht="45" customHeight="1" x14ac:dyDescent="0.2">
      <c r="A208" s="26">
        <v>12.5</v>
      </c>
      <c r="B208" s="29" t="s">
        <v>250</v>
      </c>
      <c r="C208" s="12">
        <v>3</v>
      </c>
      <c r="D208" s="52" t="s">
        <v>251</v>
      </c>
      <c r="E208" s="29" t="s">
        <v>250</v>
      </c>
      <c r="F208" s="58">
        <v>3</v>
      </c>
      <c r="G208" s="52" t="s">
        <v>251</v>
      </c>
      <c r="H208" s="29" t="s">
        <v>250</v>
      </c>
      <c r="I208" s="58">
        <v>3</v>
      </c>
      <c r="J208" s="52" t="s">
        <v>251</v>
      </c>
      <c r="K208" s="29" t="s">
        <v>250</v>
      </c>
      <c r="L208" s="58">
        <v>3</v>
      </c>
      <c r="M208" s="52" t="s">
        <v>251</v>
      </c>
      <c r="N208" s="29" t="s">
        <v>250</v>
      </c>
      <c r="O208" s="58">
        <v>3</v>
      </c>
      <c r="P208" s="52" t="s">
        <v>251</v>
      </c>
      <c r="Q208" s="29" t="s">
        <v>250</v>
      </c>
      <c r="R208" s="58">
        <v>3</v>
      </c>
      <c r="S208" s="52" t="s">
        <v>251</v>
      </c>
      <c r="T208" s="29" t="s">
        <v>250</v>
      </c>
      <c r="U208" s="58">
        <v>3</v>
      </c>
      <c r="V208" s="52" t="s">
        <v>251</v>
      </c>
      <c r="W208" s="29" t="s">
        <v>250</v>
      </c>
      <c r="X208" s="58">
        <v>3</v>
      </c>
      <c r="Y208" s="52" t="s">
        <v>251</v>
      </c>
      <c r="Z208" s="29" t="s">
        <v>250</v>
      </c>
      <c r="AA208" s="58">
        <v>3</v>
      </c>
      <c r="AB208" s="52" t="s">
        <v>251</v>
      </c>
      <c r="AC208" s="29" t="s">
        <v>250</v>
      </c>
      <c r="AD208" s="58">
        <v>3</v>
      </c>
      <c r="AE208" s="52" t="s">
        <v>251</v>
      </c>
      <c r="AF208" s="29" t="s">
        <v>250</v>
      </c>
      <c r="AG208" s="58">
        <v>3</v>
      </c>
      <c r="AH208" s="52" t="s">
        <v>251</v>
      </c>
    </row>
    <row r="209" spans="1:34" ht="45" customHeight="1" x14ac:dyDescent="0.2">
      <c r="A209" s="26">
        <v>12.6</v>
      </c>
      <c r="B209" s="29" t="s">
        <v>601</v>
      </c>
      <c r="C209" s="12">
        <v>3</v>
      </c>
      <c r="D209" s="51" t="s">
        <v>252</v>
      </c>
      <c r="E209" s="29" t="s">
        <v>601</v>
      </c>
      <c r="F209" s="58">
        <v>3</v>
      </c>
      <c r="G209" s="51" t="s">
        <v>252</v>
      </c>
      <c r="H209" s="29" t="s">
        <v>601</v>
      </c>
      <c r="I209" s="58">
        <v>3</v>
      </c>
      <c r="J209" s="51" t="s">
        <v>252</v>
      </c>
      <c r="K209" s="29" t="s">
        <v>601</v>
      </c>
      <c r="L209" s="58">
        <v>3</v>
      </c>
      <c r="M209" s="51" t="s">
        <v>252</v>
      </c>
      <c r="N209" s="29" t="s">
        <v>601</v>
      </c>
      <c r="O209" s="58">
        <v>3</v>
      </c>
      <c r="P209" s="51" t="s">
        <v>252</v>
      </c>
      <c r="Q209" s="29" t="s">
        <v>601</v>
      </c>
      <c r="R209" s="58">
        <v>3</v>
      </c>
      <c r="S209" s="51" t="s">
        <v>252</v>
      </c>
      <c r="T209" s="29" t="s">
        <v>601</v>
      </c>
      <c r="U209" s="58">
        <v>3</v>
      </c>
      <c r="V209" s="51" t="s">
        <v>252</v>
      </c>
      <c r="W209" s="29" t="s">
        <v>601</v>
      </c>
      <c r="X209" s="58">
        <v>3</v>
      </c>
      <c r="Y209" s="51" t="s">
        <v>252</v>
      </c>
      <c r="Z209" s="29" t="s">
        <v>601</v>
      </c>
      <c r="AA209" s="58">
        <v>3</v>
      </c>
      <c r="AB209" s="51" t="s">
        <v>252</v>
      </c>
      <c r="AC209" s="29" t="s">
        <v>601</v>
      </c>
      <c r="AD209" s="58">
        <v>3</v>
      </c>
      <c r="AE209" s="51" t="s">
        <v>252</v>
      </c>
      <c r="AF209" s="29" t="s">
        <v>601</v>
      </c>
      <c r="AG209" s="58">
        <v>3</v>
      </c>
      <c r="AH209" s="51" t="s">
        <v>252</v>
      </c>
    </row>
    <row r="210" spans="1:34" ht="45" customHeight="1" x14ac:dyDescent="0.2">
      <c r="A210" s="26">
        <v>12.7</v>
      </c>
      <c r="B210" s="29" t="s">
        <v>253</v>
      </c>
      <c r="C210" s="12">
        <v>3</v>
      </c>
      <c r="D210" s="51" t="s">
        <v>254</v>
      </c>
      <c r="E210" s="29" t="s">
        <v>253</v>
      </c>
      <c r="F210" s="58">
        <v>3</v>
      </c>
      <c r="G210" s="51" t="s">
        <v>254</v>
      </c>
      <c r="H210" s="29" t="s">
        <v>253</v>
      </c>
      <c r="I210" s="58">
        <v>3</v>
      </c>
      <c r="J210" s="51" t="s">
        <v>254</v>
      </c>
      <c r="K210" s="29" t="s">
        <v>253</v>
      </c>
      <c r="L210" s="58">
        <v>3</v>
      </c>
      <c r="M210" s="51" t="s">
        <v>254</v>
      </c>
      <c r="N210" s="29" t="s">
        <v>253</v>
      </c>
      <c r="O210" s="58">
        <v>3</v>
      </c>
      <c r="P210" s="51" t="s">
        <v>254</v>
      </c>
      <c r="Q210" s="29" t="s">
        <v>253</v>
      </c>
      <c r="R210" s="58">
        <v>3</v>
      </c>
      <c r="S210" s="51" t="s">
        <v>254</v>
      </c>
      <c r="T210" s="29" t="s">
        <v>253</v>
      </c>
      <c r="U210" s="58">
        <v>3</v>
      </c>
      <c r="V210" s="51" t="s">
        <v>254</v>
      </c>
      <c r="W210" s="29" t="s">
        <v>253</v>
      </c>
      <c r="X210" s="58">
        <v>3</v>
      </c>
      <c r="Y210" s="51" t="s">
        <v>254</v>
      </c>
      <c r="Z210" s="29" t="s">
        <v>253</v>
      </c>
      <c r="AA210" s="58">
        <v>3</v>
      </c>
      <c r="AB210" s="51" t="s">
        <v>254</v>
      </c>
      <c r="AC210" s="29" t="s">
        <v>253</v>
      </c>
      <c r="AD210" s="58">
        <v>3</v>
      </c>
      <c r="AE210" s="51" t="s">
        <v>254</v>
      </c>
      <c r="AF210" s="29" t="s">
        <v>253</v>
      </c>
      <c r="AG210" s="58">
        <v>3</v>
      </c>
      <c r="AH210" s="51" t="s">
        <v>254</v>
      </c>
    </row>
    <row r="211" spans="1:34" ht="45" customHeight="1" x14ac:dyDescent="0.2">
      <c r="A211" s="26">
        <v>12.8</v>
      </c>
      <c r="B211" s="29" t="s">
        <v>213</v>
      </c>
      <c r="C211" s="12">
        <v>5</v>
      </c>
      <c r="D211" s="51" t="s">
        <v>255</v>
      </c>
      <c r="E211" s="29" t="s">
        <v>213</v>
      </c>
      <c r="F211" s="58">
        <v>5</v>
      </c>
      <c r="G211" s="51" t="s">
        <v>255</v>
      </c>
      <c r="H211" s="29" t="s">
        <v>213</v>
      </c>
      <c r="I211" s="58">
        <v>5</v>
      </c>
      <c r="J211" s="51" t="s">
        <v>255</v>
      </c>
      <c r="K211" s="29" t="s">
        <v>213</v>
      </c>
      <c r="L211" s="58">
        <v>5</v>
      </c>
      <c r="M211" s="51" t="s">
        <v>255</v>
      </c>
      <c r="N211" s="29" t="s">
        <v>213</v>
      </c>
      <c r="O211" s="58">
        <v>5</v>
      </c>
      <c r="P211" s="51" t="s">
        <v>255</v>
      </c>
      <c r="Q211" s="29" t="s">
        <v>213</v>
      </c>
      <c r="R211" s="58">
        <v>5</v>
      </c>
      <c r="S211" s="51" t="s">
        <v>255</v>
      </c>
      <c r="T211" s="29" t="s">
        <v>213</v>
      </c>
      <c r="U211" s="58">
        <v>5</v>
      </c>
      <c r="V211" s="51" t="s">
        <v>255</v>
      </c>
      <c r="W211" s="29" t="s">
        <v>213</v>
      </c>
      <c r="X211" s="58">
        <v>5</v>
      </c>
      <c r="Y211" s="51" t="s">
        <v>255</v>
      </c>
      <c r="Z211" s="29" t="s">
        <v>213</v>
      </c>
      <c r="AA211" s="58">
        <v>5</v>
      </c>
      <c r="AB211" s="51" t="s">
        <v>255</v>
      </c>
      <c r="AC211" s="29" t="s">
        <v>213</v>
      </c>
      <c r="AD211" s="58">
        <v>5</v>
      </c>
      <c r="AE211" s="51" t="s">
        <v>255</v>
      </c>
      <c r="AF211" s="29" t="s">
        <v>213</v>
      </c>
      <c r="AG211" s="58">
        <v>5</v>
      </c>
      <c r="AH211" s="51" t="s">
        <v>255</v>
      </c>
    </row>
    <row r="212" spans="1:34" ht="45" customHeight="1" x14ac:dyDescent="0.2">
      <c r="A212" s="26">
        <v>12.9</v>
      </c>
      <c r="B212" s="29" t="s">
        <v>256</v>
      </c>
      <c r="C212" s="12">
        <v>3</v>
      </c>
      <c r="D212" s="51" t="s">
        <v>257</v>
      </c>
      <c r="E212" s="29" t="s">
        <v>256</v>
      </c>
      <c r="F212" s="58">
        <v>3</v>
      </c>
      <c r="G212" s="51" t="s">
        <v>257</v>
      </c>
      <c r="H212" s="29" t="s">
        <v>256</v>
      </c>
      <c r="I212" s="58">
        <v>3</v>
      </c>
      <c r="J212" s="51" t="s">
        <v>257</v>
      </c>
      <c r="K212" s="29" t="s">
        <v>256</v>
      </c>
      <c r="L212" s="58">
        <v>3</v>
      </c>
      <c r="M212" s="51" t="s">
        <v>257</v>
      </c>
      <c r="N212" s="29" t="s">
        <v>256</v>
      </c>
      <c r="O212" s="58">
        <v>3</v>
      </c>
      <c r="P212" s="51" t="s">
        <v>257</v>
      </c>
      <c r="Q212" s="29" t="s">
        <v>256</v>
      </c>
      <c r="R212" s="58">
        <v>3</v>
      </c>
      <c r="S212" s="51" t="s">
        <v>257</v>
      </c>
      <c r="T212" s="29" t="s">
        <v>256</v>
      </c>
      <c r="U212" s="58">
        <v>3</v>
      </c>
      <c r="V212" s="51" t="s">
        <v>257</v>
      </c>
      <c r="W212" s="29" t="s">
        <v>256</v>
      </c>
      <c r="X212" s="58">
        <v>3</v>
      </c>
      <c r="Y212" s="51" t="s">
        <v>257</v>
      </c>
      <c r="Z212" s="29" t="s">
        <v>256</v>
      </c>
      <c r="AA212" s="58">
        <v>3</v>
      </c>
      <c r="AB212" s="51" t="s">
        <v>257</v>
      </c>
      <c r="AC212" s="29" t="s">
        <v>256</v>
      </c>
      <c r="AD212" s="58">
        <v>3</v>
      </c>
      <c r="AE212" s="51" t="s">
        <v>257</v>
      </c>
      <c r="AF212" s="29" t="s">
        <v>256</v>
      </c>
      <c r="AG212" s="58">
        <v>3</v>
      </c>
      <c r="AH212" s="51" t="s">
        <v>257</v>
      </c>
    </row>
    <row r="213" spans="1:34" ht="45" customHeight="1" x14ac:dyDescent="0.2">
      <c r="A213" s="36" t="s">
        <v>258</v>
      </c>
      <c r="B213" s="29" t="s">
        <v>259</v>
      </c>
      <c r="C213" s="12">
        <v>3</v>
      </c>
      <c r="D213" s="51" t="s">
        <v>260</v>
      </c>
      <c r="E213" s="29" t="s">
        <v>259</v>
      </c>
      <c r="F213" s="58">
        <v>3</v>
      </c>
      <c r="G213" s="51" t="s">
        <v>260</v>
      </c>
      <c r="H213" s="29" t="s">
        <v>259</v>
      </c>
      <c r="I213" s="58">
        <v>3</v>
      </c>
      <c r="J213" s="51" t="s">
        <v>260</v>
      </c>
      <c r="K213" s="29" t="s">
        <v>259</v>
      </c>
      <c r="L213" s="58">
        <v>3</v>
      </c>
      <c r="M213" s="51" t="s">
        <v>260</v>
      </c>
      <c r="N213" s="29" t="s">
        <v>259</v>
      </c>
      <c r="O213" s="58">
        <v>3</v>
      </c>
      <c r="P213" s="51" t="s">
        <v>260</v>
      </c>
      <c r="Q213" s="29" t="s">
        <v>259</v>
      </c>
      <c r="R213" s="58">
        <v>3</v>
      </c>
      <c r="S213" s="51" t="s">
        <v>260</v>
      </c>
      <c r="T213" s="29" t="s">
        <v>259</v>
      </c>
      <c r="U213" s="58">
        <v>3</v>
      </c>
      <c r="V213" s="51" t="s">
        <v>260</v>
      </c>
      <c r="W213" s="29" t="s">
        <v>259</v>
      </c>
      <c r="X213" s="58">
        <v>3</v>
      </c>
      <c r="Y213" s="51" t="s">
        <v>260</v>
      </c>
      <c r="Z213" s="29" t="s">
        <v>259</v>
      </c>
      <c r="AA213" s="58">
        <v>3</v>
      </c>
      <c r="AB213" s="51" t="s">
        <v>260</v>
      </c>
      <c r="AC213" s="29" t="s">
        <v>259</v>
      </c>
      <c r="AD213" s="58">
        <v>3</v>
      </c>
      <c r="AE213" s="51" t="s">
        <v>260</v>
      </c>
      <c r="AF213" s="29" t="s">
        <v>259</v>
      </c>
      <c r="AG213" s="58">
        <v>3</v>
      </c>
      <c r="AH213" s="51" t="s">
        <v>260</v>
      </c>
    </row>
    <row r="214" spans="1:34" ht="45" customHeight="1" x14ac:dyDescent="0.2">
      <c r="A214" s="26">
        <v>12.11</v>
      </c>
      <c r="B214" s="29" t="s">
        <v>261</v>
      </c>
      <c r="C214" s="12">
        <v>3</v>
      </c>
      <c r="D214" s="51" t="s">
        <v>262</v>
      </c>
      <c r="E214" s="29" t="s">
        <v>261</v>
      </c>
      <c r="F214" s="58">
        <v>3</v>
      </c>
      <c r="G214" s="51" t="s">
        <v>262</v>
      </c>
      <c r="H214" s="29" t="s">
        <v>261</v>
      </c>
      <c r="I214" s="58">
        <v>3</v>
      </c>
      <c r="J214" s="51" t="s">
        <v>262</v>
      </c>
      <c r="K214" s="29" t="s">
        <v>261</v>
      </c>
      <c r="L214" s="58">
        <v>3</v>
      </c>
      <c r="M214" s="51" t="s">
        <v>262</v>
      </c>
      <c r="N214" s="29" t="s">
        <v>261</v>
      </c>
      <c r="O214" s="58">
        <v>3</v>
      </c>
      <c r="P214" s="51" t="s">
        <v>262</v>
      </c>
      <c r="Q214" s="29" t="s">
        <v>261</v>
      </c>
      <c r="R214" s="58">
        <v>3</v>
      </c>
      <c r="S214" s="51" t="s">
        <v>262</v>
      </c>
      <c r="T214" s="29" t="s">
        <v>261</v>
      </c>
      <c r="U214" s="58">
        <v>3</v>
      </c>
      <c r="V214" s="51" t="s">
        <v>262</v>
      </c>
      <c r="W214" s="29" t="s">
        <v>261</v>
      </c>
      <c r="X214" s="58">
        <v>3</v>
      </c>
      <c r="Y214" s="51" t="s">
        <v>262</v>
      </c>
      <c r="Z214" s="29" t="s">
        <v>261</v>
      </c>
      <c r="AA214" s="58">
        <v>3</v>
      </c>
      <c r="AB214" s="51" t="s">
        <v>262</v>
      </c>
      <c r="AC214" s="29" t="s">
        <v>261</v>
      </c>
      <c r="AD214" s="58">
        <v>3</v>
      </c>
      <c r="AE214" s="51" t="s">
        <v>262</v>
      </c>
      <c r="AF214" s="29" t="s">
        <v>261</v>
      </c>
      <c r="AG214" s="58">
        <v>3</v>
      </c>
      <c r="AH214" s="51" t="s">
        <v>262</v>
      </c>
    </row>
    <row r="215" spans="1:34" ht="45" customHeight="1" x14ac:dyDescent="0.2">
      <c r="A215" s="26">
        <v>12.12</v>
      </c>
      <c r="B215" s="29" t="s">
        <v>263</v>
      </c>
      <c r="C215" s="12">
        <v>5</v>
      </c>
      <c r="D215" s="51" t="s">
        <v>264</v>
      </c>
      <c r="E215" s="29" t="s">
        <v>263</v>
      </c>
      <c r="F215" s="58">
        <v>5</v>
      </c>
      <c r="G215" s="51" t="s">
        <v>264</v>
      </c>
      <c r="H215" s="29" t="s">
        <v>263</v>
      </c>
      <c r="I215" s="58">
        <v>5</v>
      </c>
      <c r="J215" s="51" t="s">
        <v>264</v>
      </c>
      <c r="K215" s="29" t="s">
        <v>263</v>
      </c>
      <c r="L215" s="58">
        <v>5</v>
      </c>
      <c r="M215" s="51" t="s">
        <v>264</v>
      </c>
      <c r="N215" s="29" t="s">
        <v>263</v>
      </c>
      <c r="O215" s="58">
        <v>5</v>
      </c>
      <c r="P215" s="51" t="s">
        <v>264</v>
      </c>
      <c r="Q215" s="29" t="s">
        <v>263</v>
      </c>
      <c r="R215" s="58">
        <v>5</v>
      </c>
      <c r="S215" s="51" t="s">
        <v>264</v>
      </c>
      <c r="T215" s="29" t="s">
        <v>263</v>
      </c>
      <c r="U215" s="58">
        <v>5</v>
      </c>
      <c r="V215" s="51" t="s">
        <v>264</v>
      </c>
      <c r="W215" s="29" t="s">
        <v>263</v>
      </c>
      <c r="X215" s="58">
        <v>5</v>
      </c>
      <c r="Y215" s="51" t="s">
        <v>264</v>
      </c>
      <c r="Z215" s="29" t="s">
        <v>263</v>
      </c>
      <c r="AA215" s="58">
        <v>5</v>
      </c>
      <c r="AB215" s="51" t="s">
        <v>264</v>
      </c>
      <c r="AC215" s="29" t="s">
        <v>263</v>
      </c>
      <c r="AD215" s="58">
        <v>5</v>
      </c>
      <c r="AE215" s="51" t="s">
        <v>264</v>
      </c>
      <c r="AF215" s="29" t="s">
        <v>263</v>
      </c>
      <c r="AG215" s="58">
        <v>5</v>
      </c>
      <c r="AH215" s="51" t="s">
        <v>264</v>
      </c>
    </row>
    <row r="216" spans="1:34" ht="45" customHeight="1" x14ac:dyDescent="0.2">
      <c r="A216" s="26">
        <v>12.13</v>
      </c>
      <c r="B216" s="29" t="s">
        <v>265</v>
      </c>
      <c r="C216" s="12">
        <v>3</v>
      </c>
      <c r="D216" s="51" t="s">
        <v>264</v>
      </c>
      <c r="E216" s="29" t="s">
        <v>265</v>
      </c>
      <c r="F216" s="58">
        <v>3</v>
      </c>
      <c r="G216" s="51" t="s">
        <v>266</v>
      </c>
      <c r="H216" s="29" t="s">
        <v>265</v>
      </c>
      <c r="I216" s="58">
        <v>3</v>
      </c>
      <c r="J216" s="51" t="s">
        <v>266</v>
      </c>
      <c r="K216" s="29" t="s">
        <v>265</v>
      </c>
      <c r="L216" s="58">
        <v>3</v>
      </c>
      <c r="M216" s="51" t="s">
        <v>266</v>
      </c>
      <c r="N216" s="29" t="s">
        <v>265</v>
      </c>
      <c r="O216" s="58">
        <v>3</v>
      </c>
      <c r="P216" s="51" t="s">
        <v>266</v>
      </c>
      <c r="Q216" s="29" t="s">
        <v>265</v>
      </c>
      <c r="R216" s="58">
        <v>3</v>
      </c>
      <c r="S216" s="51" t="s">
        <v>266</v>
      </c>
      <c r="T216" s="29" t="s">
        <v>265</v>
      </c>
      <c r="U216" s="58">
        <v>3</v>
      </c>
      <c r="V216" s="51" t="s">
        <v>266</v>
      </c>
      <c r="W216" s="29" t="s">
        <v>265</v>
      </c>
      <c r="X216" s="58">
        <v>3</v>
      </c>
      <c r="Y216" s="51" t="s">
        <v>266</v>
      </c>
      <c r="Z216" s="29" t="s">
        <v>265</v>
      </c>
      <c r="AA216" s="58">
        <v>3</v>
      </c>
      <c r="AB216" s="51" t="s">
        <v>266</v>
      </c>
      <c r="AC216" s="29" t="s">
        <v>265</v>
      </c>
      <c r="AD216" s="58">
        <v>3</v>
      </c>
      <c r="AE216" s="51" t="s">
        <v>266</v>
      </c>
      <c r="AF216" s="29" t="s">
        <v>265</v>
      </c>
      <c r="AG216" s="58">
        <v>3</v>
      </c>
      <c r="AH216" s="51" t="s">
        <v>266</v>
      </c>
    </row>
    <row r="217" spans="1:34" ht="45" customHeight="1" x14ac:dyDescent="0.2">
      <c r="A217" s="26">
        <v>12.14</v>
      </c>
      <c r="B217" s="29" t="s">
        <v>267</v>
      </c>
      <c r="C217" s="12">
        <v>3</v>
      </c>
      <c r="D217" s="51" t="s">
        <v>268</v>
      </c>
      <c r="E217" s="29" t="s">
        <v>267</v>
      </c>
      <c r="F217" s="58">
        <v>3</v>
      </c>
      <c r="G217" s="51" t="s">
        <v>268</v>
      </c>
      <c r="H217" s="29" t="s">
        <v>267</v>
      </c>
      <c r="I217" s="58">
        <v>3</v>
      </c>
      <c r="J217" s="51" t="s">
        <v>268</v>
      </c>
      <c r="K217" s="29" t="s">
        <v>267</v>
      </c>
      <c r="L217" s="58">
        <v>3</v>
      </c>
      <c r="M217" s="51" t="s">
        <v>268</v>
      </c>
      <c r="N217" s="29" t="s">
        <v>267</v>
      </c>
      <c r="O217" s="58">
        <v>3</v>
      </c>
      <c r="P217" s="51" t="s">
        <v>268</v>
      </c>
      <c r="Q217" s="29" t="s">
        <v>267</v>
      </c>
      <c r="R217" s="58">
        <v>3</v>
      </c>
      <c r="S217" s="51" t="s">
        <v>268</v>
      </c>
      <c r="T217" s="29" t="s">
        <v>267</v>
      </c>
      <c r="U217" s="58">
        <v>3</v>
      </c>
      <c r="V217" s="51" t="s">
        <v>268</v>
      </c>
      <c r="W217" s="29" t="s">
        <v>267</v>
      </c>
      <c r="X217" s="58">
        <v>3</v>
      </c>
      <c r="Y217" s="51" t="s">
        <v>268</v>
      </c>
      <c r="Z217" s="29" t="s">
        <v>267</v>
      </c>
      <c r="AA217" s="58">
        <v>3</v>
      </c>
      <c r="AB217" s="51" t="s">
        <v>268</v>
      </c>
      <c r="AC217" s="29" t="s">
        <v>267</v>
      </c>
      <c r="AD217" s="58">
        <v>3</v>
      </c>
      <c r="AE217" s="51" t="s">
        <v>268</v>
      </c>
      <c r="AF217" s="29" t="s">
        <v>267</v>
      </c>
      <c r="AG217" s="58">
        <v>3</v>
      </c>
      <c r="AH217" s="51" t="s">
        <v>268</v>
      </c>
    </row>
    <row r="218" spans="1:34" ht="25.5" x14ac:dyDescent="0.2">
      <c r="A218" s="9">
        <v>12.15</v>
      </c>
      <c r="B218" s="17" t="s">
        <v>269</v>
      </c>
      <c r="C218" s="10">
        <f>SUM(C219:C224)</f>
        <v>36</v>
      </c>
      <c r="D218" s="4"/>
    </row>
    <row r="219" spans="1:34" ht="25.5" x14ac:dyDescent="0.2">
      <c r="A219" s="26" t="s">
        <v>7</v>
      </c>
      <c r="B219" s="29" t="s">
        <v>270</v>
      </c>
      <c r="C219" s="37">
        <v>10</v>
      </c>
      <c r="D219" s="51" t="s">
        <v>271</v>
      </c>
    </row>
    <row r="220" spans="1:34" ht="25.5" x14ac:dyDescent="0.2">
      <c r="A220" s="26" t="s">
        <v>10</v>
      </c>
      <c r="B220" s="29" t="s">
        <v>272</v>
      </c>
      <c r="C220" s="37">
        <v>10</v>
      </c>
      <c r="D220" s="51" t="s">
        <v>273</v>
      </c>
    </row>
    <row r="221" spans="1:34" ht="38.25" x14ac:dyDescent="0.2">
      <c r="A221" s="26" t="s">
        <v>13</v>
      </c>
      <c r="B221" s="29" t="s">
        <v>274</v>
      </c>
      <c r="C221" s="12">
        <v>3</v>
      </c>
      <c r="D221" s="51" t="s">
        <v>275</v>
      </c>
    </row>
    <row r="222" spans="1:34" ht="25.5" x14ac:dyDescent="0.2">
      <c r="A222" s="26" t="s">
        <v>16</v>
      </c>
      <c r="B222" s="29" t="s">
        <v>276</v>
      </c>
      <c r="C222" s="12">
        <v>3</v>
      </c>
      <c r="D222" s="51" t="s">
        <v>277</v>
      </c>
    </row>
    <row r="223" spans="1:34" ht="25.5" x14ac:dyDescent="0.2">
      <c r="A223" s="26" t="s">
        <v>112</v>
      </c>
      <c r="B223" s="29" t="s">
        <v>278</v>
      </c>
      <c r="C223" s="12">
        <v>5</v>
      </c>
      <c r="D223" s="51" t="s">
        <v>279</v>
      </c>
    </row>
    <row r="224" spans="1:34" ht="25.5" x14ac:dyDescent="0.2">
      <c r="A224" s="26" t="s">
        <v>215</v>
      </c>
      <c r="B224" s="29" t="s">
        <v>602</v>
      </c>
      <c r="C224" s="12">
        <v>5</v>
      </c>
      <c r="D224" s="51" t="s">
        <v>280</v>
      </c>
    </row>
    <row r="225" spans="1:4" x14ac:dyDescent="0.2">
      <c r="A225" s="9">
        <v>12.16</v>
      </c>
      <c r="B225" s="17" t="s">
        <v>281</v>
      </c>
      <c r="C225" s="10">
        <f>SUM(C226:C228)</f>
        <v>13</v>
      </c>
      <c r="D225" s="35"/>
    </row>
    <row r="226" spans="1:4" ht="25.5" x14ac:dyDescent="0.2">
      <c r="A226" s="26" t="s">
        <v>7</v>
      </c>
      <c r="B226" s="29" t="s">
        <v>282</v>
      </c>
      <c r="C226" s="12">
        <v>3</v>
      </c>
      <c r="D226" s="59" t="s">
        <v>283</v>
      </c>
    </row>
    <row r="227" spans="1:4" ht="38.25" x14ac:dyDescent="0.2">
      <c r="A227" s="26" t="s">
        <v>10</v>
      </c>
      <c r="B227" s="29" t="s">
        <v>284</v>
      </c>
      <c r="C227" s="12">
        <v>5</v>
      </c>
      <c r="D227" s="59" t="s">
        <v>285</v>
      </c>
    </row>
    <row r="228" spans="1:4" ht="25.5" x14ac:dyDescent="0.2">
      <c r="A228" s="26" t="s">
        <v>13</v>
      </c>
      <c r="B228" s="29" t="s">
        <v>286</v>
      </c>
      <c r="C228" s="12">
        <v>5</v>
      </c>
      <c r="D228" s="59" t="s">
        <v>287</v>
      </c>
    </row>
    <row r="229" spans="1:4" ht="25.5" x14ac:dyDescent="0.2">
      <c r="A229" s="9">
        <v>12.17</v>
      </c>
      <c r="B229" s="17" t="s">
        <v>288</v>
      </c>
      <c r="C229" s="10">
        <f>SUM(C230:C231)</f>
        <v>8</v>
      </c>
      <c r="D229" s="35"/>
    </row>
    <row r="230" spans="1:4" ht="25.5" x14ac:dyDescent="0.2">
      <c r="A230" s="26" t="s">
        <v>7</v>
      </c>
      <c r="B230" s="29" t="s">
        <v>289</v>
      </c>
      <c r="C230" s="12">
        <v>5</v>
      </c>
      <c r="D230" s="51" t="s">
        <v>290</v>
      </c>
    </row>
    <row r="231" spans="1:4" ht="25.5" x14ac:dyDescent="0.2">
      <c r="A231" s="26" t="s">
        <v>10</v>
      </c>
      <c r="B231" s="29" t="s">
        <v>291</v>
      </c>
      <c r="C231" s="12">
        <v>3</v>
      </c>
      <c r="D231" s="51" t="s">
        <v>603</v>
      </c>
    </row>
    <row r="232" spans="1:4" x14ac:dyDescent="0.2">
      <c r="A232" s="78"/>
      <c r="B232" s="78"/>
    </row>
    <row r="233" spans="1:4" ht="15" customHeight="1" x14ac:dyDescent="0.2">
      <c r="A233" s="76">
        <v>13</v>
      </c>
      <c r="B233" s="76"/>
      <c r="C233" s="76"/>
      <c r="D233" s="76"/>
    </row>
    <row r="234" spans="1:4" ht="15" customHeight="1" x14ac:dyDescent="0.2">
      <c r="A234" s="76" t="s">
        <v>292</v>
      </c>
      <c r="B234" s="76"/>
      <c r="C234" s="76"/>
      <c r="D234" s="76"/>
    </row>
    <row r="235" spans="1:4" ht="15" customHeight="1" x14ac:dyDescent="0.2">
      <c r="A235" s="76" t="s">
        <v>293</v>
      </c>
      <c r="B235" s="76"/>
      <c r="C235" s="76"/>
      <c r="D235" s="76"/>
    </row>
    <row r="236" spans="1:4" x14ac:dyDescent="0.2">
      <c r="A236" s="85"/>
      <c r="B236" s="76" t="s">
        <v>4</v>
      </c>
      <c r="C236" s="86"/>
      <c r="D236" s="4"/>
    </row>
    <row r="237" spans="1:4" x14ac:dyDescent="0.2">
      <c r="A237" s="85"/>
      <c r="B237" s="76"/>
      <c r="C237" s="86"/>
      <c r="D237" s="4"/>
    </row>
    <row r="238" spans="1:4" x14ac:dyDescent="0.2">
      <c r="A238" s="9">
        <v>13.1</v>
      </c>
      <c r="B238" s="17" t="s">
        <v>294</v>
      </c>
      <c r="C238" s="10">
        <f>SUM(C239:C240)</f>
        <v>6</v>
      </c>
      <c r="D238" s="48" t="s">
        <v>617</v>
      </c>
    </row>
    <row r="239" spans="1:4" x14ac:dyDescent="0.2">
      <c r="A239" s="26" t="s">
        <v>7</v>
      </c>
      <c r="B239" s="29" t="s">
        <v>295</v>
      </c>
      <c r="C239" s="12">
        <v>3</v>
      </c>
      <c r="D239" s="59" t="s">
        <v>296</v>
      </c>
    </row>
    <row r="240" spans="1:4" x14ac:dyDescent="0.2">
      <c r="A240" s="26" t="s">
        <v>10</v>
      </c>
      <c r="B240" s="29" t="s">
        <v>242</v>
      </c>
      <c r="C240" s="12">
        <v>3</v>
      </c>
      <c r="D240" s="51" t="s">
        <v>206</v>
      </c>
    </row>
    <row r="241" spans="1:4" ht="25.5" x14ac:dyDescent="0.2">
      <c r="A241" s="9">
        <v>13.2</v>
      </c>
      <c r="B241" s="17" t="s">
        <v>243</v>
      </c>
      <c r="C241" s="18">
        <f>SUM(C242:C256)</f>
        <v>49</v>
      </c>
      <c r="D241" s="5"/>
    </row>
    <row r="242" spans="1:4" x14ac:dyDescent="0.2">
      <c r="A242" s="26" t="s">
        <v>7</v>
      </c>
      <c r="B242" s="29" t="s">
        <v>244</v>
      </c>
      <c r="C242" s="12">
        <v>3</v>
      </c>
      <c r="D242" s="51" t="s">
        <v>245</v>
      </c>
    </row>
    <row r="243" spans="1:4" x14ac:dyDescent="0.2">
      <c r="A243" s="26" t="s">
        <v>10</v>
      </c>
      <c r="B243" s="29" t="s">
        <v>246</v>
      </c>
      <c r="C243" s="12">
        <v>3</v>
      </c>
      <c r="D243" s="52" t="s">
        <v>246</v>
      </c>
    </row>
    <row r="244" spans="1:4" ht="25.5" x14ac:dyDescent="0.2">
      <c r="A244" s="26">
        <v>13.3</v>
      </c>
      <c r="B244" s="29" t="s">
        <v>247</v>
      </c>
      <c r="C244" s="12">
        <v>3</v>
      </c>
      <c r="D244" s="51" t="s">
        <v>600</v>
      </c>
    </row>
    <row r="245" spans="1:4" ht="25.5" x14ac:dyDescent="0.2">
      <c r="A245" s="26">
        <v>13.4</v>
      </c>
      <c r="B245" s="29" t="s">
        <v>248</v>
      </c>
      <c r="C245" s="12">
        <v>3</v>
      </c>
      <c r="D245" s="52" t="s">
        <v>249</v>
      </c>
    </row>
    <row r="246" spans="1:4" ht="25.5" x14ac:dyDescent="0.2">
      <c r="A246" s="26">
        <v>13.5</v>
      </c>
      <c r="B246" s="29" t="s">
        <v>250</v>
      </c>
      <c r="C246" s="12">
        <v>3</v>
      </c>
      <c r="D246" s="52" t="s">
        <v>251</v>
      </c>
    </row>
    <row r="247" spans="1:4" ht="38.25" x14ac:dyDescent="0.2">
      <c r="A247" s="26">
        <v>13.6</v>
      </c>
      <c r="B247" s="29" t="s">
        <v>601</v>
      </c>
      <c r="C247" s="12">
        <v>3</v>
      </c>
      <c r="D247" s="51" t="s">
        <v>252</v>
      </c>
    </row>
    <row r="248" spans="1:4" x14ac:dyDescent="0.2">
      <c r="A248" s="26">
        <v>13.7</v>
      </c>
      <c r="B248" s="29" t="s">
        <v>253</v>
      </c>
      <c r="C248" s="12">
        <v>3</v>
      </c>
      <c r="D248" s="51" t="s">
        <v>254</v>
      </c>
    </row>
    <row r="249" spans="1:4" ht="25.5" x14ac:dyDescent="0.2">
      <c r="A249" s="26">
        <v>13.8</v>
      </c>
      <c r="B249" s="29" t="s">
        <v>213</v>
      </c>
      <c r="C249" s="12">
        <v>5</v>
      </c>
      <c r="D249" s="51" t="s">
        <v>255</v>
      </c>
    </row>
    <row r="250" spans="1:4" ht="25.5" x14ac:dyDescent="0.2">
      <c r="A250" s="26">
        <v>13.9</v>
      </c>
      <c r="B250" s="29" t="s">
        <v>297</v>
      </c>
      <c r="C250" s="12">
        <v>3</v>
      </c>
      <c r="D250" s="52" t="s">
        <v>298</v>
      </c>
    </row>
    <row r="251" spans="1:4" ht="25.5" x14ac:dyDescent="0.2">
      <c r="A251" s="36" t="s">
        <v>299</v>
      </c>
      <c r="B251" s="29" t="s">
        <v>256</v>
      </c>
      <c r="C251" s="12">
        <v>3</v>
      </c>
      <c r="D251" s="51" t="s">
        <v>257</v>
      </c>
    </row>
    <row r="252" spans="1:4" ht="25.5" x14ac:dyDescent="0.2">
      <c r="A252" s="36">
        <v>13.11</v>
      </c>
      <c r="B252" s="29" t="s">
        <v>259</v>
      </c>
      <c r="C252" s="12">
        <v>3</v>
      </c>
      <c r="D252" s="51" t="s">
        <v>260</v>
      </c>
    </row>
    <row r="253" spans="1:4" ht="25.5" x14ac:dyDescent="0.2">
      <c r="A253" s="26">
        <v>13.12</v>
      </c>
      <c r="B253" s="29" t="s">
        <v>261</v>
      </c>
      <c r="C253" s="12">
        <v>3</v>
      </c>
      <c r="D253" s="51" t="s">
        <v>262</v>
      </c>
    </row>
    <row r="254" spans="1:4" ht="25.5" x14ac:dyDescent="0.2">
      <c r="A254" s="26">
        <v>13.13</v>
      </c>
      <c r="B254" s="29" t="s">
        <v>300</v>
      </c>
      <c r="C254" s="12">
        <v>5</v>
      </c>
      <c r="D254" s="51" t="s">
        <v>264</v>
      </c>
    </row>
    <row r="255" spans="1:4" ht="25.5" x14ac:dyDescent="0.2">
      <c r="A255" s="26">
        <v>13.14</v>
      </c>
      <c r="B255" s="29" t="s">
        <v>265</v>
      </c>
      <c r="C255" s="12">
        <v>3</v>
      </c>
      <c r="D255" s="51" t="s">
        <v>266</v>
      </c>
    </row>
    <row r="256" spans="1:4" ht="25.5" x14ac:dyDescent="0.2">
      <c r="A256" s="26">
        <v>13.15</v>
      </c>
      <c r="B256" s="29" t="s">
        <v>267</v>
      </c>
      <c r="C256" s="12">
        <v>3</v>
      </c>
      <c r="D256" s="51" t="s">
        <v>268</v>
      </c>
    </row>
    <row r="257" spans="1:4" x14ac:dyDescent="0.2">
      <c r="A257" s="9">
        <v>13.16</v>
      </c>
      <c r="B257" s="17" t="s">
        <v>301</v>
      </c>
      <c r="C257" s="10">
        <f>SUM(C258:C259)</f>
        <v>20</v>
      </c>
      <c r="D257" s="5"/>
    </row>
    <row r="258" spans="1:4" x14ac:dyDescent="0.2">
      <c r="A258" s="26" t="s">
        <v>7</v>
      </c>
      <c r="B258" s="29" t="s">
        <v>302</v>
      </c>
      <c r="C258" s="12">
        <v>10</v>
      </c>
      <c r="D258" s="52" t="s">
        <v>303</v>
      </c>
    </row>
    <row r="259" spans="1:4" ht="25.5" x14ac:dyDescent="0.2">
      <c r="A259" s="26" t="s">
        <v>10</v>
      </c>
      <c r="B259" s="29" t="s">
        <v>304</v>
      </c>
      <c r="C259" s="12">
        <v>10</v>
      </c>
      <c r="D259" s="52" t="s">
        <v>305</v>
      </c>
    </row>
    <row r="260" spans="1:4" ht="25.5" x14ac:dyDescent="0.2">
      <c r="A260" s="9">
        <v>13.17</v>
      </c>
      <c r="B260" s="17" t="s">
        <v>269</v>
      </c>
      <c r="C260" s="10">
        <f>SUM(C261:C266)</f>
        <v>26</v>
      </c>
      <c r="D260" s="5"/>
    </row>
    <row r="261" spans="1:4" ht="25.5" x14ac:dyDescent="0.2">
      <c r="A261" s="26" t="s">
        <v>7</v>
      </c>
      <c r="B261" s="29" t="s">
        <v>270</v>
      </c>
      <c r="C261" s="12">
        <v>5</v>
      </c>
      <c r="D261" s="51" t="s">
        <v>271</v>
      </c>
    </row>
    <row r="262" spans="1:4" ht="25.5" x14ac:dyDescent="0.2">
      <c r="A262" s="26" t="s">
        <v>10</v>
      </c>
      <c r="B262" s="29" t="s">
        <v>272</v>
      </c>
      <c r="C262" s="12">
        <v>5</v>
      </c>
      <c r="D262" s="51" t="s">
        <v>273</v>
      </c>
    </row>
    <row r="263" spans="1:4" ht="38.25" x14ac:dyDescent="0.2">
      <c r="A263" s="26" t="s">
        <v>13</v>
      </c>
      <c r="B263" s="29" t="s">
        <v>274</v>
      </c>
      <c r="C263" s="12">
        <v>3</v>
      </c>
      <c r="D263" s="51" t="s">
        <v>275</v>
      </c>
    </row>
    <row r="264" spans="1:4" ht="25.5" x14ac:dyDescent="0.2">
      <c r="A264" s="26" t="s">
        <v>16</v>
      </c>
      <c r="B264" s="29" t="s">
        <v>276</v>
      </c>
      <c r="C264" s="12">
        <v>3</v>
      </c>
      <c r="D264" s="51" t="s">
        <v>277</v>
      </c>
    </row>
    <row r="265" spans="1:4" ht="25.5" x14ac:dyDescent="0.2">
      <c r="A265" s="26" t="s">
        <v>112</v>
      </c>
      <c r="B265" s="29" t="s">
        <v>278</v>
      </c>
      <c r="C265" s="12">
        <v>5</v>
      </c>
      <c r="D265" s="51" t="s">
        <v>279</v>
      </c>
    </row>
    <row r="266" spans="1:4" ht="25.5" x14ac:dyDescent="0.2">
      <c r="A266" s="26" t="s">
        <v>215</v>
      </c>
      <c r="B266" s="29" t="s">
        <v>306</v>
      </c>
      <c r="C266" s="12">
        <v>5</v>
      </c>
      <c r="D266" s="51" t="s">
        <v>280</v>
      </c>
    </row>
    <row r="267" spans="1:4" x14ac:dyDescent="0.2">
      <c r="A267" s="9">
        <v>13.18</v>
      </c>
      <c r="B267" s="17" t="s">
        <v>281</v>
      </c>
      <c r="C267" s="10">
        <f>SUM(C268:C270)</f>
        <v>13</v>
      </c>
      <c r="D267" s="5"/>
    </row>
    <row r="268" spans="1:4" ht="25.5" x14ac:dyDescent="0.2">
      <c r="A268" s="26" t="s">
        <v>7</v>
      </c>
      <c r="B268" s="29" t="s">
        <v>282</v>
      </c>
      <c r="C268" s="12">
        <v>3</v>
      </c>
      <c r="D268" s="59" t="s">
        <v>283</v>
      </c>
    </row>
    <row r="269" spans="1:4" ht="38.25" x14ac:dyDescent="0.2">
      <c r="A269" s="26" t="s">
        <v>10</v>
      </c>
      <c r="B269" s="29" t="s">
        <v>284</v>
      </c>
      <c r="C269" s="12">
        <v>5</v>
      </c>
      <c r="D269" s="59" t="s">
        <v>285</v>
      </c>
    </row>
    <row r="270" spans="1:4" ht="25.5" x14ac:dyDescent="0.2">
      <c r="A270" s="26" t="s">
        <v>13</v>
      </c>
      <c r="B270" s="29" t="s">
        <v>286</v>
      </c>
      <c r="C270" s="12">
        <v>5</v>
      </c>
      <c r="D270" s="59" t="s">
        <v>287</v>
      </c>
    </row>
    <row r="271" spans="1:4" ht="25.5" x14ac:dyDescent="0.2">
      <c r="A271" s="9">
        <v>13.19</v>
      </c>
      <c r="B271" s="17" t="s">
        <v>288</v>
      </c>
      <c r="C271" s="10">
        <f>SUM(C272:C273)</f>
        <v>8</v>
      </c>
      <c r="D271" s="5"/>
    </row>
    <row r="272" spans="1:4" ht="25.5" x14ac:dyDescent="0.2">
      <c r="A272" s="26" t="s">
        <v>7</v>
      </c>
      <c r="B272" s="29" t="s">
        <v>289</v>
      </c>
      <c r="C272" s="12">
        <v>5</v>
      </c>
      <c r="D272" s="51" t="s">
        <v>628</v>
      </c>
    </row>
    <row r="273" spans="1:4" ht="25.5" x14ac:dyDescent="0.2">
      <c r="A273" s="26" t="s">
        <v>10</v>
      </c>
      <c r="B273" s="29" t="s">
        <v>291</v>
      </c>
      <c r="C273" s="12">
        <v>3</v>
      </c>
      <c r="D273" s="51" t="s">
        <v>603</v>
      </c>
    </row>
    <row r="274" spans="1:4" x14ac:dyDescent="0.2">
      <c r="A274" s="38">
        <v>13.2</v>
      </c>
      <c r="B274" s="17" t="s">
        <v>307</v>
      </c>
      <c r="C274" s="10">
        <f>SUM(C275:C276)</f>
        <v>10</v>
      </c>
      <c r="D274" s="5"/>
    </row>
    <row r="275" spans="1:4" ht="51" x14ac:dyDescent="0.2">
      <c r="A275" s="26" t="s">
        <v>10</v>
      </c>
      <c r="B275" s="29" t="s">
        <v>308</v>
      </c>
      <c r="C275" s="12">
        <v>5</v>
      </c>
      <c r="D275" s="51" t="s">
        <v>309</v>
      </c>
    </row>
    <row r="276" spans="1:4" ht="25.5" x14ac:dyDescent="0.2">
      <c r="A276" s="26" t="s">
        <v>16</v>
      </c>
      <c r="B276" s="29" t="s">
        <v>310</v>
      </c>
      <c r="C276" s="12">
        <v>5</v>
      </c>
      <c r="D276" s="51" t="s">
        <v>311</v>
      </c>
    </row>
    <row r="277" spans="1:4" x14ac:dyDescent="0.2">
      <c r="A277" s="78"/>
      <c r="B277" s="78"/>
    </row>
    <row r="278" spans="1:4" ht="15" customHeight="1" x14ac:dyDescent="0.2">
      <c r="A278" s="76">
        <v>14</v>
      </c>
      <c r="B278" s="76"/>
      <c r="C278" s="76"/>
      <c r="D278" s="76"/>
    </row>
    <row r="279" spans="1:4" ht="15" customHeight="1" x14ac:dyDescent="0.2">
      <c r="A279" s="77" t="s">
        <v>292</v>
      </c>
      <c r="B279" s="77"/>
      <c r="C279" s="77"/>
      <c r="D279" s="77"/>
    </row>
    <row r="280" spans="1:4" ht="15" customHeight="1" x14ac:dyDescent="0.2">
      <c r="A280" s="76" t="s">
        <v>312</v>
      </c>
      <c r="B280" s="76"/>
      <c r="C280" s="76"/>
      <c r="D280" s="76"/>
    </row>
    <row r="281" spans="1:4" x14ac:dyDescent="0.2">
      <c r="A281" s="85"/>
      <c r="B281" s="85" t="s">
        <v>4</v>
      </c>
      <c r="C281" s="86"/>
      <c r="D281" s="4"/>
    </row>
    <row r="282" spans="1:4" x14ac:dyDescent="0.2">
      <c r="A282" s="85"/>
      <c r="B282" s="85"/>
      <c r="C282" s="86"/>
      <c r="D282" s="4"/>
    </row>
    <row r="283" spans="1:4" ht="25.5" x14ac:dyDescent="0.2">
      <c r="A283" s="9">
        <v>14.1</v>
      </c>
      <c r="B283" s="17" t="s">
        <v>313</v>
      </c>
      <c r="C283" s="10">
        <f>SUM(C284:C297)</f>
        <v>46</v>
      </c>
      <c r="D283" s="48" t="s">
        <v>617</v>
      </c>
    </row>
    <row r="284" spans="1:4" ht="25.5" x14ac:dyDescent="0.2">
      <c r="A284" s="26" t="s">
        <v>7</v>
      </c>
      <c r="B284" s="29" t="s">
        <v>314</v>
      </c>
      <c r="C284" s="12">
        <v>3</v>
      </c>
      <c r="D284" s="51" t="s">
        <v>151</v>
      </c>
    </row>
    <row r="285" spans="1:4" ht="25.5" x14ac:dyDescent="0.2">
      <c r="A285" s="26" t="s">
        <v>10</v>
      </c>
      <c r="B285" s="29" t="s">
        <v>315</v>
      </c>
      <c r="C285" s="12">
        <v>3</v>
      </c>
      <c r="D285" s="51" t="s">
        <v>206</v>
      </c>
    </row>
    <row r="286" spans="1:4" ht="25.5" x14ac:dyDescent="0.2">
      <c r="A286" s="26" t="s">
        <v>13</v>
      </c>
      <c r="B286" s="29" t="s">
        <v>316</v>
      </c>
      <c r="C286" s="12">
        <v>3</v>
      </c>
      <c r="D286" s="59" t="s">
        <v>317</v>
      </c>
    </row>
    <row r="287" spans="1:4" ht="38.25" x14ac:dyDescent="0.2">
      <c r="A287" s="26" t="s">
        <v>16</v>
      </c>
      <c r="B287" s="29" t="s">
        <v>318</v>
      </c>
      <c r="C287" s="12">
        <v>3</v>
      </c>
      <c r="D287" s="52" t="s">
        <v>319</v>
      </c>
    </row>
    <row r="288" spans="1:4" ht="25.5" x14ac:dyDescent="0.2">
      <c r="A288" s="26" t="s">
        <v>112</v>
      </c>
      <c r="B288" s="29" t="s">
        <v>250</v>
      </c>
      <c r="C288" s="12">
        <v>3</v>
      </c>
      <c r="D288" s="52" t="s">
        <v>320</v>
      </c>
    </row>
    <row r="289" spans="1:4" ht="38.25" x14ac:dyDescent="0.2">
      <c r="A289" s="26" t="s">
        <v>215</v>
      </c>
      <c r="B289" s="29" t="s">
        <v>601</v>
      </c>
      <c r="C289" s="12">
        <v>3</v>
      </c>
      <c r="D289" s="51" t="s">
        <v>252</v>
      </c>
    </row>
    <row r="290" spans="1:4" x14ac:dyDescent="0.2">
      <c r="A290" s="26" t="s">
        <v>321</v>
      </c>
      <c r="B290" s="29" t="s">
        <v>253</v>
      </c>
      <c r="C290" s="12">
        <v>3</v>
      </c>
      <c r="D290" s="51" t="s">
        <v>254</v>
      </c>
    </row>
    <row r="291" spans="1:4" ht="25.5" x14ac:dyDescent="0.2">
      <c r="A291" s="26" t="s">
        <v>322</v>
      </c>
      <c r="B291" s="29" t="s">
        <v>213</v>
      </c>
      <c r="C291" s="12">
        <v>5</v>
      </c>
      <c r="D291" s="51" t="s">
        <v>255</v>
      </c>
    </row>
    <row r="292" spans="1:4" ht="25.5" x14ac:dyDescent="0.2">
      <c r="A292" s="26" t="s">
        <v>323</v>
      </c>
      <c r="B292" s="29" t="s">
        <v>256</v>
      </c>
      <c r="C292" s="12">
        <v>3</v>
      </c>
      <c r="D292" s="51" t="s">
        <v>257</v>
      </c>
    </row>
    <row r="293" spans="1:4" ht="25.5" x14ac:dyDescent="0.2">
      <c r="A293" s="36" t="s">
        <v>324</v>
      </c>
      <c r="B293" s="29" t="s">
        <v>259</v>
      </c>
      <c r="C293" s="12">
        <v>3</v>
      </c>
      <c r="D293" s="51" t="s">
        <v>260</v>
      </c>
    </row>
    <row r="294" spans="1:4" ht="25.5" x14ac:dyDescent="0.2">
      <c r="A294" s="26" t="s">
        <v>325</v>
      </c>
      <c r="B294" s="29" t="s">
        <v>261</v>
      </c>
      <c r="C294" s="12">
        <v>3</v>
      </c>
      <c r="D294" s="51" t="s">
        <v>262</v>
      </c>
    </row>
    <row r="295" spans="1:4" ht="25.5" x14ac:dyDescent="0.2">
      <c r="A295" s="26" t="s">
        <v>326</v>
      </c>
      <c r="B295" s="29" t="s">
        <v>327</v>
      </c>
      <c r="C295" s="12">
        <v>5</v>
      </c>
      <c r="D295" s="51" t="s">
        <v>264</v>
      </c>
    </row>
    <row r="296" spans="1:4" ht="25.5" x14ac:dyDescent="0.2">
      <c r="A296" s="26" t="s">
        <v>328</v>
      </c>
      <c r="B296" s="29" t="s">
        <v>265</v>
      </c>
      <c r="C296" s="12">
        <v>3</v>
      </c>
      <c r="D296" s="51" t="s">
        <v>266</v>
      </c>
    </row>
    <row r="297" spans="1:4" ht="25.5" x14ac:dyDescent="0.2">
      <c r="A297" s="36" t="s">
        <v>329</v>
      </c>
      <c r="B297" s="29" t="s">
        <v>330</v>
      </c>
      <c r="C297" s="12">
        <v>3</v>
      </c>
      <c r="D297" s="51" t="s">
        <v>268</v>
      </c>
    </row>
    <row r="298" spans="1:4" ht="25.5" x14ac:dyDescent="0.2">
      <c r="A298" s="9">
        <v>14.2</v>
      </c>
      <c r="B298" s="17" t="s">
        <v>269</v>
      </c>
      <c r="C298" s="10">
        <f>SUM(C299:C303)</f>
        <v>33</v>
      </c>
      <c r="D298" s="4"/>
    </row>
    <row r="299" spans="1:4" ht="25.5" x14ac:dyDescent="0.2">
      <c r="A299" s="26" t="s">
        <v>7</v>
      </c>
      <c r="B299" s="29" t="s">
        <v>270</v>
      </c>
      <c r="C299" s="12">
        <v>10</v>
      </c>
      <c r="D299" s="51" t="s">
        <v>271</v>
      </c>
    </row>
    <row r="300" spans="1:4" ht="25.5" x14ac:dyDescent="0.2">
      <c r="A300" s="26" t="s">
        <v>10</v>
      </c>
      <c r="B300" s="29" t="s">
        <v>272</v>
      </c>
      <c r="C300" s="12">
        <v>10</v>
      </c>
      <c r="D300" s="51" t="s">
        <v>273</v>
      </c>
    </row>
    <row r="301" spans="1:4" ht="38.25" x14ac:dyDescent="0.2">
      <c r="A301" s="26" t="s">
        <v>13</v>
      </c>
      <c r="B301" s="29" t="s">
        <v>274</v>
      </c>
      <c r="C301" s="12">
        <v>3</v>
      </c>
      <c r="D301" s="51" t="s">
        <v>275</v>
      </c>
    </row>
    <row r="302" spans="1:4" ht="25.5" x14ac:dyDescent="0.2">
      <c r="A302" s="26" t="s">
        <v>16</v>
      </c>
      <c r="B302" s="29" t="s">
        <v>278</v>
      </c>
      <c r="C302" s="12">
        <v>5</v>
      </c>
      <c r="D302" s="51" t="s">
        <v>277</v>
      </c>
    </row>
    <row r="303" spans="1:4" ht="25.5" x14ac:dyDescent="0.2">
      <c r="A303" s="26" t="s">
        <v>112</v>
      </c>
      <c r="B303" s="29" t="s">
        <v>604</v>
      </c>
      <c r="C303" s="12">
        <v>5</v>
      </c>
      <c r="D303" s="51" t="s">
        <v>280</v>
      </c>
    </row>
    <row r="304" spans="1:4" x14ac:dyDescent="0.2">
      <c r="A304" s="9">
        <v>14.3</v>
      </c>
      <c r="B304" s="17" t="s">
        <v>281</v>
      </c>
      <c r="C304" s="10">
        <f>SUM(C305:C307)</f>
        <v>13</v>
      </c>
      <c r="D304" s="4"/>
    </row>
    <row r="305" spans="1:4" ht="25.5" x14ac:dyDescent="0.2">
      <c r="A305" s="26" t="s">
        <v>7</v>
      </c>
      <c r="B305" s="29" t="s">
        <v>282</v>
      </c>
      <c r="C305" s="12">
        <v>3</v>
      </c>
      <c r="D305" s="59" t="s">
        <v>283</v>
      </c>
    </row>
    <row r="306" spans="1:4" ht="38.25" x14ac:dyDescent="0.2">
      <c r="A306" s="26" t="s">
        <v>10</v>
      </c>
      <c r="B306" s="29" t="s">
        <v>284</v>
      </c>
      <c r="C306" s="12">
        <v>5</v>
      </c>
      <c r="D306" s="59" t="s">
        <v>285</v>
      </c>
    </row>
    <row r="307" spans="1:4" ht="25.5" x14ac:dyDescent="0.2">
      <c r="A307" s="26" t="s">
        <v>13</v>
      </c>
      <c r="B307" s="29" t="s">
        <v>331</v>
      </c>
      <c r="C307" s="12">
        <v>5</v>
      </c>
      <c r="D307" s="59" t="s">
        <v>287</v>
      </c>
    </row>
    <row r="308" spans="1:4" ht="25.5" x14ac:dyDescent="0.2">
      <c r="A308" s="9">
        <v>14.4</v>
      </c>
      <c r="B308" s="17" t="s">
        <v>288</v>
      </c>
      <c r="C308" s="10">
        <f>SUM(C309:C310)</f>
        <v>8</v>
      </c>
      <c r="D308" s="5"/>
    </row>
    <row r="309" spans="1:4" ht="25.5" x14ac:dyDescent="0.2">
      <c r="A309" s="26" t="s">
        <v>7</v>
      </c>
      <c r="B309" s="29" t="s">
        <v>289</v>
      </c>
      <c r="C309" s="12">
        <v>5</v>
      </c>
      <c r="D309" s="51" t="s">
        <v>290</v>
      </c>
    </row>
    <row r="310" spans="1:4" ht="25.5" x14ac:dyDescent="0.2">
      <c r="A310" s="26" t="s">
        <v>10</v>
      </c>
      <c r="B310" s="29" t="s">
        <v>291</v>
      </c>
      <c r="C310" s="12">
        <v>3</v>
      </c>
      <c r="D310" s="51" t="s">
        <v>603</v>
      </c>
    </row>
    <row r="311" spans="1:4" ht="25.5" x14ac:dyDescent="0.2">
      <c r="A311" s="9">
        <v>14.5</v>
      </c>
      <c r="B311" s="17" t="s">
        <v>332</v>
      </c>
      <c r="C311" s="10">
        <f>SUM(C312:C315)</f>
        <v>12</v>
      </c>
      <c r="D311" s="5"/>
    </row>
    <row r="312" spans="1:4" x14ac:dyDescent="0.2">
      <c r="A312" s="39" t="s">
        <v>7</v>
      </c>
      <c r="B312" s="29" t="s">
        <v>333</v>
      </c>
      <c r="C312" s="12">
        <v>3</v>
      </c>
      <c r="D312" s="51" t="s">
        <v>264</v>
      </c>
    </row>
    <row r="313" spans="1:4" x14ac:dyDescent="0.2">
      <c r="A313" s="26" t="s">
        <v>10</v>
      </c>
      <c r="B313" s="29" t="s">
        <v>334</v>
      </c>
      <c r="C313" s="12">
        <v>3</v>
      </c>
      <c r="D313" s="51" t="s">
        <v>266</v>
      </c>
    </row>
    <row r="314" spans="1:4" ht="25.5" x14ac:dyDescent="0.2">
      <c r="A314" s="26" t="s">
        <v>13</v>
      </c>
      <c r="B314" s="29" t="s">
        <v>335</v>
      </c>
      <c r="C314" s="12">
        <v>3</v>
      </c>
      <c r="D314" s="51" t="s">
        <v>336</v>
      </c>
    </row>
    <row r="315" spans="1:4" ht="38.25" x14ac:dyDescent="0.2">
      <c r="A315" s="26" t="s">
        <v>16</v>
      </c>
      <c r="B315" s="29" t="s">
        <v>337</v>
      </c>
      <c r="C315" s="12">
        <v>3</v>
      </c>
      <c r="D315" s="59" t="s">
        <v>337</v>
      </c>
    </row>
    <row r="316" spans="1:4" x14ac:dyDescent="0.2">
      <c r="A316" s="31"/>
      <c r="B316" s="32"/>
      <c r="C316" s="23"/>
      <c r="D316" s="32"/>
    </row>
    <row r="317" spans="1:4" ht="15" customHeight="1" x14ac:dyDescent="0.2">
      <c r="A317" s="76">
        <v>15</v>
      </c>
      <c r="B317" s="76"/>
      <c r="C317" s="76"/>
      <c r="D317" s="76"/>
    </row>
    <row r="318" spans="1:4" ht="15" customHeight="1" x14ac:dyDescent="0.2">
      <c r="A318" s="76" t="s">
        <v>292</v>
      </c>
      <c r="B318" s="76"/>
      <c r="C318" s="76"/>
      <c r="D318" s="76"/>
    </row>
    <row r="319" spans="1:4" ht="15" customHeight="1" x14ac:dyDescent="0.2">
      <c r="A319" s="76" t="s">
        <v>338</v>
      </c>
      <c r="B319" s="76"/>
      <c r="C319" s="76"/>
      <c r="D319" s="76"/>
    </row>
    <row r="320" spans="1:4" x14ac:dyDescent="0.2">
      <c r="A320" s="76"/>
      <c r="B320" s="76" t="s">
        <v>4</v>
      </c>
      <c r="C320" s="77"/>
      <c r="D320" s="5"/>
    </row>
    <row r="321" spans="1:4" x14ac:dyDescent="0.2">
      <c r="A321" s="76"/>
      <c r="B321" s="76"/>
      <c r="C321" s="77"/>
      <c r="D321" s="5"/>
    </row>
    <row r="322" spans="1:4" ht="25.5" x14ac:dyDescent="0.2">
      <c r="A322" s="9">
        <v>15.1</v>
      </c>
      <c r="B322" s="17" t="s">
        <v>339</v>
      </c>
      <c r="C322" s="10">
        <f>SUM(C323:C337)</f>
        <v>49</v>
      </c>
      <c r="D322" s="48" t="s">
        <v>617</v>
      </c>
    </row>
    <row r="323" spans="1:4" ht="25.5" x14ac:dyDescent="0.2">
      <c r="A323" s="26" t="s">
        <v>7</v>
      </c>
      <c r="B323" s="29" t="s">
        <v>340</v>
      </c>
      <c r="C323" s="12">
        <v>3</v>
      </c>
      <c r="D323" s="51" t="s">
        <v>151</v>
      </c>
    </row>
    <row r="324" spans="1:4" x14ac:dyDescent="0.2">
      <c r="A324" s="26" t="s">
        <v>10</v>
      </c>
      <c r="B324" s="29" t="s">
        <v>242</v>
      </c>
      <c r="C324" s="12">
        <v>3</v>
      </c>
      <c r="D324" s="51" t="s">
        <v>206</v>
      </c>
    </row>
    <row r="325" spans="1:4" ht="25.5" x14ac:dyDescent="0.2">
      <c r="A325" s="26" t="s">
        <v>13</v>
      </c>
      <c r="B325" s="29" t="s">
        <v>316</v>
      </c>
      <c r="C325" s="12">
        <v>3</v>
      </c>
      <c r="D325" s="59" t="s">
        <v>317</v>
      </c>
    </row>
    <row r="326" spans="1:4" ht="25.5" x14ac:dyDescent="0.2">
      <c r="A326" s="26" t="s">
        <v>16</v>
      </c>
      <c r="B326" s="29" t="s">
        <v>250</v>
      </c>
      <c r="C326" s="12">
        <v>3</v>
      </c>
      <c r="D326" s="52" t="s">
        <v>341</v>
      </c>
    </row>
    <row r="327" spans="1:4" ht="25.5" x14ac:dyDescent="0.2">
      <c r="A327" s="26" t="s">
        <v>112</v>
      </c>
      <c r="B327" s="29" t="s">
        <v>342</v>
      </c>
      <c r="C327" s="12">
        <v>3</v>
      </c>
      <c r="D327" s="51" t="s">
        <v>245</v>
      </c>
    </row>
    <row r="328" spans="1:4" x14ac:dyDescent="0.2">
      <c r="A328" s="26" t="s">
        <v>215</v>
      </c>
      <c r="B328" s="29" t="s">
        <v>246</v>
      </c>
      <c r="C328" s="12">
        <v>3</v>
      </c>
      <c r="D328" s="52" t="s">
        <v>246</v>
      </c>
    </row>
    <row r="329" spans="1:4" ht="38.25" x14ac:dyDescent="0.2">
      <c r="A329" s="26" t="s">
        <v>321</v>
      </c>
      <c r="B329" s="29" t="s">
        <v>601</v>
      </c>
      <c r="C329" s="12">
        <v>3</v>
      </c>
      <c r="D329" s="51" t="s">
        <v>252</v>
      </c>
    </row>
    <row r="330" spans="1:4" x14ac:dyDescent="0.2">
      <c r="A330" s="26" t="s">
        <v>322</v>
      </c>
      <c r="B330" s="29" t="s">
        <v>253</v>
      </c>
      <c r="C330" s="12">
        <v>3</v>
      </c>
      <c r="D330" s="51" t="s">
        <v>254</v>
      </c>
    </row>
    <row r="331" spans="1:4" ht="25.5" x14ac:dyDescent="0.2">
      <c r="A331" s="26" t="s">
        <v>323</v>
      </c>
      <c r="B331" s="29" t="s">
        <v>213</v>
      </c>
      <c r="C331" s="12">
        <v>5</v>
      </c>
      <c r="D331" s="51" t="s">
        <v>255</v>
      </c>
    </row>
    <row r="332" spans="1:4" ht="25.5" x14ac:dyDescent="0.2">
      <c r="A332" s="26" t="s">
        <v>324</v>
      </c>
      <c r="B332" s="29" t="s">
        <v>256</v>
      </c>
      <c r="C332" s="12">
        <v>3</v>
      </c>
      <c r="D332" s="51" t="s">
        <v>257</v>
      </c>
    </row>
    <row r="333" spans="1:4" ht="25.5" x14ac:dyDescent="0.2">
      <c r="A333" s="26" t="s">
        <v>325</v>
      </c>
      <c r="B333" s="29" t="s">
        <v>259</v>
      </c>
      <c r="C333" s="12">
        <v>3</v>
      </c>
      <c r="D333" s="51" t="s">
        <v>260</v>
      </c>
    </row>
    <row r="334" spans="1:4" ht="25.5" x14ac:dyDescent="0.2">
      <c r="A334" s="26" t="s">
        <v>326</v>
      </c>
      <c r="B334" s="29" t="s">
        <v>261</v>
      </c>
      <c r="C334" s="12">
        <v>3</v>
      </c>
      <c r="D334" s="51" t="s">
        <v>262</v>
      </c>
    </row>
    <row r="335" spans="1:4" ht="25.5" x14ac:dyDescent="0.2">
      <c r="A335" s="26" t="s">
        <v>328</v>
      </c>
      <c r="B335" s="29" t="s">
        <v>327</v>
      </c>
      <c r="C335" s="12">
        <v>5</v>
      </c>
      <c r="D335" s="51" t="s">
        <v>264</v>
      </c>
    </row>
    <row r="336" spans="1:4" ht="25.5" x14ac:dyDescent="0.2">
      <c r="A336" s="26" t="s">
        <v>329</v>
      </c>
      <c r="B336" s="29" t="s">
        <v>265</v>
      </c>
      <c r="C336" s="12">
        <v>3</v>
      </c>
      <c r="D336" s="51" t="s">
        <v>266</v>
      </c>
    </row>
    <row r="337" spans="1:4" ht="25.5" x14ac:dyDescent="0.2">
      <c r="A337" s="26" t="s">
        <v>343</v>
      </c>
      <c r="B337" s="29" t="s">
        <v>330</v>
      </c>
      <c r="C337" s="12">
        <v>3</v>
      </c>
      <c r="D337" s="51" t="s">
        <v>268</v>
      </c>
    </row>
    <row r="338" spans="1:4" ht="25.5" x14ac:dyDescent="0.2">
      <c r="A338" s="9">
        <v>15.2</v>
      </c>
      <c r="B338" s="17" t="s">
        <v>269</v>
      </c>
      <c r="C338" s="10">
        <f>SUM(C339:C344)</f>
        <v>36</v>
      </c>
      <c r="D338" s="5"/>
    </row>
    <row r="339" spans="1:4" ht="25.5" x14ac:dyDescent="0.2">
      <c r="A339" s="26" t="s">
        <v>7</v>
      </c>
      <c r="B339" s="29" t="s">
        <v>270</v>
      </c>
      <c r="C339" s="12">
        <v>10</v>
      </c>
      <c r="D339" s="51" t="s">
        <v>271</v>
      </c>
    </row>
    <row r="340" spans="1:4" ht="25.5" x14ac:dyDescent="0.2">
      <c r="A340" s="26" t="s">
        <v>10</v>
      </c>
      <c r="B340" s="29" t="s">
        <v>272</v>
      </c>
      <c r="C340" s="12">
        <v>10</v>
      </c>
      <c r="D340" s="51" t="s">
        <v>273</v>
      </c>
    </row>
    <row r="341" spans="1:4" ht="38.25" x14ac:dyDescent="0.2">
      <c r="A341" s="26" t="s">
        <v>13</v>
      </c>
      <c r="B341" s="29" t="s">
        <v>274</v>
      </c>
      <c r="C341" s="12">
        <v>3</v>
      </c>
      <c r="D341" s="51" t="s">
        <v>275</v>
      </c>
    </row>
    <row r="342" spans="1:4" ht="25.5" x14ac:dyDescent="0.2">
      <c r="A342" s="26" t="s">
        <v>16</v>
      </c>
      <c r="B342" s="29" t="s">
        <v>276</v>
      </c>
      <c r="C342" s="12">
        <v>3</v>
      </c>
      <c r="D342" s="51" t="s">
        <v>277</v>
      </c>
    </row>
    <row r="343" spans="1:4" ht="25.5" x14ac:dyDescent="0.2">
      <c r="A343" s="26" t="s">
        <v>112</v>
      </c>
      <c r="B343" s="29" t="s">
        <v>278</v>
      </c>
      <c r="C343" s="12">
        <v>5</v>
      </c>
      <c r="D343" s="51" t="s">
        <v>279</v>
      </c>
    </row>
    <row r="344" spans="1:4" ht="25.5" x14ac:dyDescent="0.2">
      <c r="A344" s="26" t="s">
        <v>215</v>
      </c>
      <c r="B344" s="29" t="s">
        <v>604</v>
      </c>
      <c r="C344" s="12">
        <v>5</v>
      </c>
      <c r="D344" s="51" t="s">
        <v>280</v>
      </c>
    </row>
    <row r="345" spans="1:4" x14ac:dyDescent="0.2">
      <c r="A345" s="9">
        <v>15.3</v>
      </c>
      <c r="B345" s="17" t="s">
        <v>281</v>
      </c>
      <c r="C345" s="10">
        <f>SUM(C346:C348)</f>
        <v>13</v>
      </c>
      <c r="D345" s="5"/>
    </row>
    <row r="346" spans="1:4" ht="25.5" x14ac:dyDescent="0.2">
      <c r="A346" s="26" t="s">
        <v>7</v>
      </c>
      <c r="B346" s="29" t="s">
        <v>344</v>
      </c>
      <c r="C346" s="12">
        <v>3</v>
      </c>
      <c r="D346" s="59" t="s">
        <v>283</v>
      </c>
    </row>
    <row r="347" spans="1:4" ht="38.25" x14ac:dyDescent="0.2">
      <c r="A347" s="26" t="s">
        <v>10</v>
      </c>
      <c r="B347" s="29" t="s">
        <v>345</v>
      </c>
      <c r="C347" s="12">
        <v>5</v>
      </c>
      <c r="D347" s="59" t="s">
        <v>285</v>
      </c>
    </row>
    <row r="348" spans="1:4" ht="25.5" x14ac:dyDescent="0.2">
      <c r="A348" s="26" t="s">
        <v>13</v>
      </c>
      <c r="B348" s="29" t="s">
        <v>346</v>
      </c>
      <c r="C348" s="12">
        <v>5</v>
      </c>
      <c r="D348" s="59" t="s">
        <v>287</v>
      </c>
    </row>
    <row r="349" spans="1:4" ht="25.5" x14ac:dyDescent="0.2">
      <c r="A349" s="9">
        <v>15.4</v>
      </c>
      <c r="B349" s="17" t="s">
        <v>288</v>
      </c>
      <c r="C349" s="10">
        <f>SUM(C350:C351)</f>
        <v>8</v>
      </c>
      <c r="D349" s="5"/>
    </row>
    <row r="350" spans="1:4" ht="25.5" x14ac:dyDescent="0.2">
      <c r="A350" s="26" t="s">
        <v>7</v>
      </c>
      <c r="B350" s="29" t="s">
        <v>289</v>
      </c>
      <c r="C350" s="12">
        <v>5</v>
      </c>
      <c r="D350" s="51" t="s">
        <v>629</v>
      </c>
    </row>
    <row r="351" spans="1:4" ht="25.5" x14ac:dyDescent="0.2">
      <c r="A351" s="26" t="s">
        <v>10</v>
      </c>
      <c r="B351" s="29" t="s">
        <v>291</v>
      </c>
      <c r="C351" s="12">
        <v>3</v>
      </c>
      <c r="D351" s="51" t="s">
        <v>603</v>
      </c>
    </row>
    <row r="352" spans="1:4" x14ac:dyDescent="0.2">
      <c r="A352" s="31"/>
      <c r="B352" s="32"/>
      <c r="C352" s="23"/>
    </row>
    <row r="353" spans="1:4" ht="15" customHeight="1" x14ac:dyDescent="0.2">
      <c r="A353" s="76">
        <v>16</v>
      </c>
      <c r="B353" s="76"/>
      <c r="C353" s="76"/>
      <c r="D353" s="76"/>
    </row>
    <row r="354" spans="1:4" ht="15" customHeight="1" x14ac:dyDescent="0.2">
      <c r="A354" s="76" t="s">
        <v>292</v>
      </c>
      <c r="B354" s="76"/>
      <c r="C354" s="76"/>
      <c r="D354" s="76"/>
    </row>
    <row r="355" spans="1:4" ht="15" customHeight="1" x14ac:dyDescent="0.2">
      <c r="A355" s="76" t="s">
        <v>347</v>
      </c>
      <c r="B355" s="76"/>
      <c r="C355" s="76"/>
      <c r="D355" s="76"/>
    </row>
    <row r="356" spans="1:4" x14ac:dyDescent="0.2">
      <c r="A356" s="76"/>
      <c r="B356" s="76" t="s">
        <v>4</v>
      </c>
      <c r="C356" s="77"/>
      <c r="D356" s="5"/>
    </row>
    <row r="357" spans="1:4" x14ac:dyDescent="0.2">
      <c r="A357" s="76"/>
      <c r="B357" s="76"/>
      <c r="C357" s="77"/>
      <c r="D357" s="5"/>
    </row>
    <row r="358" spans="1:4" x14ac:dyDescent="0.2">
      <c r="A358" s="9">
        <v>16.100000000000001</v>
      </c>
      <c r="B358" s="17" t="s">
        <v>348</v>
      </c>
      <c r="C358" s="10">
        <f>SUM(C359:C370)</f>
        <v>40</v>
      </c>
      <c r="D358" s="48" t="s">
        <v>617</v>
      </c>
    </row>
    <row r="359" spans="1:4" ht="25.5" x14ac:dyDescent="0.2">
      <c r="A359" s="26" t="s">
        <v>7</v>
      </c>
      <c r="B359" s="29" t="s">
        <v>349</v>
      </c>
      <c r="C359" s="12">
        <v>3</v>
      </c>
      <c r="D359" s="51" t="s">
        <v>151</v>
      </c>
    </row>
    <row r="360" spans="1:4" x14ac:dyDescent="0.2">
      <c r="A360" s="26" t="s">
        <v>10</v>
      </c>
      <c r="B360" s="29" t="s">
        <v>242</v>
      </c>
      <c r="C360" s="12">
        <v>3</v>
      </c>
      <c r="D360" s="51" t="s">
        <v>206</v>
      </c>
    </row>
    <row r="361" spans="1:4" x14ac:dyDescent="0.2">
      <c r="A361" s="26" t="s">
        <v>13</v>
      </c>
      <c r="B361" s="29" t="s">
        <v>350</v>
      </c>
      <c r="C361" s="12">
        <v>3</v>
      </c>
      <c r="D361" s="59" t="s">
        <v>351</v>
      </c>
    </row>
    <row r="362" spans="1:4" ht="38.25" x14ac:dyDescent="0.2">
      <c r="A362" s="26">
        <v>16.2</v>
      </c>
      <c r="B362" s="29" t="s">
        <v>601</v>
      </c>
      <c r="C362" s="12">
        <v>3</v>
      </c>
      <c r="D362" s="51" t="s">
        <v>252</v>
      </c>
    </row>
    <row r="363" spans="1:4" x14ac:dyDescent="0.2">
      <c r="A363" s="26">
        <v>16.3</v>
      </c>
      <c r="B363" s="29" t="s">
        <v>253</v>
      </c>
      <c r="C363" s="12">
        <v>3</v>
      </c>
      <c r="D363" s="51" t="s">
        <v>254</v>
      </c>
    </row>
    <row r="364" spans="1:4" ht="25.5" x14ac:dyDescent="0.2">
      <c r="A364" s="26">
        <v>16.399999999999999</v>
      </c>
      <c r="B364" s="29" t="s">
        <v>213</v>
      </c>
      <c r="C364" s="12">
        <v>5</v>
      </c>
      <c r="D364" s="51" t="s">
        <v>255</v>
      </c>
    </row>
    <row r="365" spans="1:4" ht="25.5" x14ac:dyDescent="0.2">
      <c r="A365" s="26">
        <v>16.5</v>
      </c>
      <c r="B365" s="29" t="s">
        <v>256</v>
      </c>
      <c r="C365" s="12">
        <v>3</v>
      </c>
      <c r="D365" s="51" t="s">
        <v>257</v>
      </c>
    </row>
    <row r="366" spans="1:4" ht="25.5" x14ac:dyDescent="0.2">
      <c r="A366" s="36">
        <v>16.600000000000001</v>
      </c>
      <c r="B366" s="29" t="s">
        <v>259</v>
      </c>
      <c r="C366" s="12">
        <v>3</v>
      </c>
      <c r="D366" s="51" t="s">
        <v>260</v>
      </c>
    </row>
    <row r="367" spans="1:4" ht="25.5" x14ac:dyDescent="0.2">
      <c r="A367" s="26">
        <v>16.7</v>
      </c>
      <c r="B367" s="29" t="s">
        <v>261</v>
      </c>
      <c r="C367" s="12">
        <v>3</v>
      </c>
      <c r="D367" s="51" t="s">
        <v>262</v>
      </c>
    </row>
    <row r="368" spans="1:4" ht="25.5" x14ac:dyDescent="0.2">
      <c r="A368" s="26">
        <v>16.8</v>
      </c>
      <c r="B368" s="29" t="s">
        <v>352</v>
      </c>
      <c r="C368" s="12">
        <v>5</v>
      </c>
      <c r="D368" s="51" t="s">
        <v>264</v>
      </c>
    </row>
    <row r="369" spans="1:4" ht="25.5" x14ac:dyDescent="0.2">
      <c r="A369" s="26">
        <v>16.899999999999999</v>
      </c>
      <c r="B369" s="29" t="s">
        <v>265</v>
      </c>
      <c r="C369" s="12">
        <v>3</v>
      </c>
      <c r="D369" s="51" t="s">
        <v>266</v>
      </c>
    </row>
    <row r="370" spans="1:4" ht="25.5" x14ac:dyDescent="0.2">
      <c r="A370" s="36">
        <v>16.100000000000001</v>
      </c>
      <c r="B370" s="29" t="s">
        <v>330</v>
      </c>
      <c r="C370" s="12">
        <v>3</v>
      </c>
      <c r="D370" s="51" t="s">
        <v>268</v>
      </c>
    </row>
    <row r="371" spans="1:4" ht="25.5" x14ac:dyDescent="0.2">
      <c r="A371" s="9">
        <v>16.11</v>
      </c>
      <c r="B371" s="17" t="s">
        <v>269</v>
      </c>
      <c r="C371" s="10">
        <f>SUM(C372:C377)</f>
        <v>36</v>
      </c>
      <c r="D371" s="40"/>
    </row>
    <row r="372" spans="1:4" ht="25.5" x14ac:dyDescent="0.2">
      <c r="A372" s="26" t="s">
        <v>7</v>
      </c>
      <c r="B372" s="29" t="s">
        <v>270</v>
      </c>
      <c r="C372" s="12">
        <v>10</v>
      </c>
      <c r="D372" s="51" t="s">
        <v>271</v>
      </c>
    </row>
    <row r="373" spans="1:4" ht="25.5" x14ac:dyDescent="0.2">
      <c r="A373" s="26" t="s">
        <v>10</v>
      </c>
      <c r="B373" s="29" t="s">
        <v>272</v>
      </c>
      <c r="C373" s="12">
        <v>10</v>
      </c>
      <c r="D373" s="51" t="s">
        <v>273</v>
      </c>
    </row>
    <row r="374" spans="1:4" ht="38.25" x14ac:dyDescent="0.2">
      <c r="A374" s="26" t="s">
        <v>13</v>
      </c>
      <c r="B374" s="29" t="s">
        <v>274</v>
      </c>
      <c r="C374" s="12">
        <v>3</v>
      </c>
      <c r="D374" s="51" t="s">
        <v>275</v>
      </c>
    </row>
    <row r="375" spans="1:4" ht="25.5" x14ac:dyDescent="0.2">
      <c r="A375" s="26" t="s">
        <v>16</v>
      </c>
      <c r="B375" s="29" t="s">
        <v>276</v>
      </c>
      <c r="C375" s="12">
        <v>3</v>
      </c>
      <c r="D375" s="51" t="s">
        <v>277</v>
      </c>
    </row>
    <row r="376" spans="1:4" ht="25.5" x14ac:dyDescent="0.2">
      <c r="A376" s="26" t="s">
        <v>112</v>
      </c>
      <c r="B376" s="29" t="s">
        <v>278</v>
      </c>
      <c r="C376" s="12">
        <v>5</v>
      </c>
      <c r="D376" s="51" t="s">
        <v>279</v>
      </c>
    </row>
    <row r="377" spans="1:4" ht="25.5" x14ac:dyDescent="0.2">
      <c r="A377" s="26" t="s">
        <v>215</v>
      </c>
      <c r="B377" s="29" t="s">
        <v>306</v>
      </c>
      <c r="C377" s="12">
        <v>5</v>
      </c>
      <c r="D377" s="51" t="s">
        <v>280</v>
      </c>
    </row>
    <row r="378" spans="1:4" x14ac:dyDescent="0.2">
      <c r="A378" s="31"/>
      <c r="B378" s="32"/>
      <c r="C378" s="23"/>
    </row>
    <row r="379" spans="1:4" ht="15" customHeight="1" x14ac:dyDescent="0.2">
      <c r="A379" s="76">
        <v>17</v>
      </c>
      <c r="B379" s="76"/>
      <c r="C379" s="76"/>
      <c r="D379" s="76"/>
    </row>
    <row r="380" spans="1:4" ht="15" customHeight="1" x14ac:dyDescent="0.2">
      <c r="A380" s="76" t="s">
        <v>353</v>
      </c>
      <c r="B380" s="76"/>
      <c r="C380" s="76"/>
      <c r="D380" s="76"/>
    </row>
    <row r="381" spans="1:4" ht="15" customHeight="1" x14ac:dyDescent="0.2">
      <c r="A381" s="76" t="s">
        <v>354</v>
      </c>
      <c r="B381" s="76"/>
      <c r="C381" s="76"/>
      <c r="D381" s="76"/>
    </row>
    <row r="382" spans="1:4" x14ac:dyDescent="0.2">
      <c r="A382" s="76"/>
      <c r="B382" s="76" t="s">
        <v>4</v>
      </c>
      <c r="C382" s="77"/>
      <c r="D382" s="5"/>
    </row>
    <row r="383" spans="1:4" x14ac:dyDescent="0.2">
      <c r="A383" s="76"/>
      <c r="B383" s="76"/>
      <c r="C383" s="77"/>
      <c r="D383" s="5"/>
    </row>
    <row r="384" spans="1:4" ht="25.5" x14ac:dyDescent="0.2">
      <c r="A384" s="9">
        <v>17.100000000000001</v>
      </c>
      <c r="B384" s="17" t="s">
        <v>355</v>
      </c>
      <c r="C384" s="10">
        <f>SUM(C385:C388)</f>
        <v>40</v>
      </c>
      <c r="D384" s="48" t="s">
        <v>617</v>
      </c>
    </row>
    <row r="385" spans="1:4" ht="51" x14ac:dyDescent="0.2">
      <c r="A385" s="26" t="s">
        <v>7</v>
      </c>
      <c r="B385" s="29" t="s">
        <v>356</v>
      </c>
      <c r="C385" s="12">
        <v>10</v>
      </c>
      <c r="D385" s="51" t="s">
        <v>357</v>
      </c>
    </row>
    <row r="386" spans="1:4" ht="38.25" x14ac:dyDescent="0.2">
      <c r="A386" s="26" t="s">
        <v>10</v>
      </c>
      <c r="B386" s="29" t="s">
        <v>358</v>
      </c>
      <c r="C386" s="12">
        <v>10</v>
      </c>
      <c r="D386" s="51" t="s">
        <v>357</v>
      </c>
    </row>
    <row r="387" spans="1:4" ht="38.25" x14ac:dyDescent="0.2">
      <c r="A387" s="26" t="s">
        <v>13</v>
      </c>
      <c r="B387" s="29" t="s">
        <v>359</v>
      </c>
      <c r="C387" s="12">
        <v>10</v>
      </c>
      <c r="D387" s="51" t="s">
        <v>357</v>
      </c>
    </row>
    <row r="388" spans="1:4" ht="51" x14ac:dyDescent="0.2">
      <c r="A388" s="26" t="s">
        <v>16</v>
      </c>
      <c r="B388" s="29" t="s">
        <v>360</v>
      </c>
      <c r="C388" s="12">
        <v>10</v>
      </c>
      <c r="D388" s="51" t="s">
        <v>357</v>
      </c>
    </row>
    <row r="389" spans="1:4" ht="25.5" x14ac:dyDescent="0.2">
      <c r="A389" s="9">
        <v>17.2</v>
      </c>
      <c r="B389" s="17" t="s">
        <v>361</v>
      </c>
      <c r="C389" s="10">
        <f>SUM(C390:C393)</f>
        <v>30</v>
      </c>
      <c r="D389" s="5"/>
    </row>
    <row r="390" spans="1:4" ht="25.5" x14ac:dyDescent="0.2">
      <c r="A390" s="26" t="s">
        <v>7</v>
      </c>
      <c r="B390" s="29" t="s">
        <v>362</v>
      </c>
      <c r="C390" s="12">
        <v>10</v>
      </c>
      <c r="D390" s="60" t="s">
        <v>363</v>
      </c>
    </row>
    <row r="391" spans="1:4" ht="25.5" x14ac:dyDescent="0.2">
      <c r="A391" s="26" t="s">
        <v>10</v>
      </c>
      <c r="B391" s="29" t="s">
        <v>364</v>
      </c>
      <c r="C391" s="12">
        <v>10</v>
      </c>
      <c r="D391" s="51" t="s">
        <v>271</v>
      </c>
    </row>
    <row r="392" spans="1:4" ht="25.5" x14ac:dyDescent="0.2">
      <c r="A392" s="26" t="s">
        <v>13</v>
      </c>
      <c r="B392" s="29" t="s">
        <v>365</v>
      </c>
      <c r="C392" s="12">
        <v>5</v>
      </c>
      <c r="D392" s="51" t="s">
        <v>273</v>
      </c>
    </row>
    <row r="393" spans="1:4" ht="25.5" x14ac:dyDescent="0.2">
      <c r="A393" s="26" t="s">
        <v>16</v>
      </c>
      <c r="B393" s="29" t="s">
        <v>366</v>
      </c>
      <c r="C393" s="12">
        <v>5</v>
      </c>
      <c r="D393" s="51" t="s">
        <v>277</v>
      </c>
    </row>
    <row r="394" spans="1:4" ht="25.5" x14ac:dyDescent="0.2">
      <c r="A394" s="9">
        <v>17.3</v>
      </c>
      <c r="B394" s="17" t="s">
        <v>367</v>
      </c>
      <c r="C394" s="10">
        <f>SUM(C395:C398)</f>
        <v>40</v>
      </c>
      <c r="D394" s="40"/>
    </row>
    <row r="395" spans="1:4" ht="51" x14ac:dyDescent="0.2">
      <c r="A395" s="26" t="s">
        <v>7</v>
      </c>
      <c r="B395" s="29" t="s">
        <v>368</v>
      </c>
      <c r="C395" s="12">
        <v>10</v>
      </c>
      <c r="D395" s="51" t="s">
        <v>357</v>
      </c>
    </row>
    <row r="396" spans="1:4" ht="38.25" x14ac:dyDescent="0.2">
      <c r="A396" s="26" t="s">
        <v>10</v>
      </c>
      <c r="B396" s="29" t="s">
        <v>369</v>
      </c>
      <c r="C396" s="12">
        <v>10</v>
      </c>
      <c r="D396" s="51" t="s">
        <v>357</v>
      </c>
    </row>
    <row r="397" spans="1:4" ht="38.25" x14ac:dyDescent="0.2">
      <c r="A397" s="26" t="s">
        <v>13</v>
      </c>
      <c r="B397" s="29" t="s">
        <v>370</v>
      </c>
      <c r="C397" s="12">
        <v>10</v>
      </c>
      <c r="D397" s="51" t="s">
        <v>357</v>
      </c>
    </row>
    <row r="398" spans="1:4" ht="51" x14ac:dyDescent="0.2">
      <c r="A398" s="26" t="s">
        <v>16</v>
      </c>
      <c r="B398" s="29" t="s">
        <v>371</v>
      </c>
      <c r="C398" s="12">
        <v>10</v>
      </c>
      <c r="D398" s="51" t="s">
        <v>357</v>
      </c>
    </row>
    <row r="399" spans="1:4" ht="25.5" x14ac:dyDescent="0.2">
      <c r="A399" s="9">
        <v>17.399999999999999</v>
      </c>
      <c r="B399" s="17" t="s">
        <v>361</v>
      </c>
      <c r="C399" s="10">
        <f>SUM(C400:C404)</f>
        <v>40</v>
      </c>
      <c r="D399" s="5"/>
    </row>
    <row r="400" spans="1:4" ht="25.5" x14ac:dyDescent="0.2">
      <c r="A400" s="26" t="s">
        <v>7</v>
      </c>
      <c r="B400" s="29" t="s">
        <v>362</v>
      </c>
      <c r="C400" s="12">
        <v>10</v>
      </c>
      <c r="D400" s="60" t="s">
        <v>363</v>
      </c>
    </row>
    <row r="401" spans="1:4" ht="25.5" x14ac:dyDescent="0.2">
      <c r="A401" s="26" t="s">
        <v>10</v>
      </c>
      <c r="B401" s="29" t="s">
        <v>364</v>
      </c>
      <c r="C401" s="12">
        <v>10</v>
      </c>
      <c r="D401" s="51" t="s">
        <v>271</v>
      </c>
    </row>
    <row r="402" spans="1:4" ht="25.5" x14ac:dyDescent="0.2">
      <c r="A402" s="26" t="s">
        <v>13</v>
      </c>
      <c r="B402" s="29" t="s">
        <v>365</v>
      </c>
      <c r="C402" s="12">
        <v>5</v>
      </c>
      <c r="D402" s="51" t="s">
        <v>273</v>
      </c>
    </row>
    <row r="403" spans="1:4" ht="25.5" x14ac:dyDescent="0.2">
      <c r="A403" s="26" t="s">
        <v>16</v>
      </c>
      <c r="B403" s="29" t="s">
        <v>366</v>
      </c>
      <c r="C403" s="12">
        <v>5</v>
      </c>
      <c r="D403" s="51" t="s">
        <v>277</v>
      </c>
    </row>
    <row r="404" spans="1:4" ht="38.25" x14ac:dyDescent="0.2">
      <c r="A404" s="26" t="s">
        <v>112</v>
      </c>
      <c r="B404" s="29" t="s">
        <v>372</v>
      </c>
      <c r="C404" s="12">
        <v>10</v>
      </c>
      <c r="D404" s="59" t="s">
        <v>373</v>
      </c>
    </row>
    <row r="406" spans="1:4" ht="15" customHeight="1" x14ac:dyDescent="0.2">
      <c r="A406" s="76">
        <v>18</v>
      </c>
      <c r="B406" s="76"/>
      <c r="C406" s="76"/>
      <c r="D406" s="76"/>
    </row>
    <row r="407" spans="1:4" ht="15" customHeight="1" x14ac:dyDescent="0.2">
      <c r="A407" s="76" t="s">
        <v>292</v>
      </c>
      <c r="B407" s="76"/>
      <c r="C407" s="76"/>
      <c r="D407" s="76"/>
    </row>
    <row r="408" spans="1:4" ht="15" customHeight="1" x14ac:dyDescent="0.2">
      <c r="A408" s="76" t="s">
        <v>374</v>
      </c>
      <c r="B408" s="76"/>
      <c r="C408" s="76"/>
      <c r="D408" s="76"/>
    </row>
    <row r="409" spans="1:4" x14ac:dyDescent="0.2">
      <c r="A409" s="76"/>
      <c r="B409" s="76" t="s">
        <v>4</v>
      </c>
      <c r="C409" s="77"/>
      <c r="D409" s="5"/>
    </row>
    <row r="410" spans="1:4" x14ac:dyDescent="0.2">
      <c r="A410" s="76"/>
      <c r="B410" s="76"/>
      <c r="C410" s="77"/>
      <c r="D410" s="5"/>
    </row>
    <row r="411" spans="1:4" x14ac:dyDescent="0.2">
      <c r="A411" s="9">
        <v>18.100000000000001</v>
      </c>
      <c r="B411" s="17" t="s">
        <v>375</v>
      </c>
      <c r="C411" s="10">
        <f>+C412</f>
        <v>5</v>
      </c>
      <c r="D411" s="48" t="s">
        <v>617</v>
      </c>
    </row>
    <row r="412" spans="1:4" x14ac:dyDescent="0.2">
      <c r="A412" s="26" t="s">
        <v>7</v>
      </c>
      <c r="B412" s="29" t="s">
        <v>376</v>
      </c>
      <c r="C412" s="12">
        <v>5</v>
      </c>
      <c r="D412" s="51" t="s">
        <v>377</v>
      </c>
    </row>
    <row r="413" spans="1:4" x14ac:dyDescent="0.2">
      <c r="A413" s="9">
        <v>18.2</v>
      </c>
      <c r="B413" s="17" t="s">
        <v>378</v>
      </c>
      <c r="C413" s="10">
        <f>SUM(C414:C418)</f>
        <v>15</v>
      </c>
      <c r="D413" s="5"/>
    </row>
    <row r="414" spans="1:4" ht="25.5" x14ac:dyDescent="0.2">
      <c r="A414" s="26" t="s">
        <v>7</v>
      </c>
      <c r="B414" s="29" t="s">
        <v>379</v>
      </c>
      <c r="C414" s="12">
        <v>3</v>
      </c>
      <c r="D414" s="59" t="s">
        <v>380</v>
      </c>
    </row>
    <row r="415" spans="1:4" x14ac:dyDescent="0.2">
      <c r="A415" s="26" t="s">
        <v>10</v>
      </c>
      <c r="B415" s="29" t="s">
        <v>244</v>
      </c>
      <c r="C415" s="12">
        <v>3</v>
      </c>
      <c r="D415" s="51" t="s">
        <v>245</v>
      </c>
    </row>
    <row r="416" spans="1:4" x14ac:dyDescent="0.2">
      <c r="A416" s="26" t="s">
        <v>13</v>
      </c>
      <c r="B416" s="29" t="s">
        <v>381</v>
      </c>
      <c r="C416" s="12">
        <v>3</v>
      </c>
      <c r="D416" s="52" t="s">
        <v>382</v>
      </c>
    </row>
    <row r="417" spans="1:4" ht="25.5" x14ac:dyDescent="0.2">
      <c r="A417" s="26" t="s">
        <v>16</v>
      </c>
      <c r="B417" s="29" t="s">
        <v>383</v>
      </c>
      <c r="C417" s="12">
        <v>3</v>
      </c>
      <c r="D417" s="51" t="s">
        <v>151</v>
      </c>
    </row>
    <row r="418" spans="1:4" ht="25.5" x14ac:dyDescent="0.2">
      <c r="A418" s="26" t="s">
        <v>112</v>
      </c>
      <c r="B418" s="29" t="s">
        <v>384</v>
      </c>
      <c r="C418" s="12">
        <v>3</v>
      </c>
      <c r="D418" s="51" t="s">
        <v>385</v>
      </c>
    </row>
    <row r="419" spans="1:4" x14ac:dyDescent="0.2">
      <c r="A419" s="9">
        <v>18.3</v>
      </c>
      <c r="B419" s="17" t="s">
        <v>386</v>
      </c>
      <c r="C419" s="10">
        <f>SUM(C420:C422)</f>
        <v>13</v>
      </c>
      <c r="D419" s="5"/>
    </row>
    <row r="420" spans="1:4" ht="25.5" x14ac:dyDescent="0.2">
      <c r="A420" s="26" t="s">
        <v>7</v>
      </c>
      <c r="B420" s="41" t="s">
        <v>605</v>
      </c>
      <c r="C420" s="12">
        <v>3</v>
      </c>
      <c r="D420" s="51" t="s">
        <v>387</v>
      </c>
    </row>
    <row r="421" spans="1:4" ht="25.5" x14ac:dyDescent="0.2">
      <c r="A421" s="26" t="s">
        <v>10</v>
      </c>
      <c r="B421" s="29" t="s">
        <v>388</v>
      </c>
      <c r="C421" s="12">
        <v>5</v>
      </c>
      <c r="D421" s="51" t="s">
        <v>389</v>
      </c>
    </row>
    <row r="422" spans="1:4" ht="25.5" x14ac:dyDescent="0.2">
      <c r="A422" s="26" t="s">
        <v>13</v>
      </c>
      <c r="B422" s="29" t="s">
        <v>390</v>
      </c>
      <c r="C422" s="12">
        <v>5</v>
      </c>
      <c r="D422" s="59" t="s">
        <v>391</v>
      </c>
    </row>
    <row r="423" spans="1:4" x14ac:dyDescent="0.2">
      <c r="A423" s="9">
        <v>18.399999999999999</v>
      </c>
      <c r="B423" s="17" t="s">
        <v>392</v>
      </c>
      <c r="C423" s="10">
        <f>SUM(C424)</f>
        <v>10</v>
      </c>
      <c r="D423" s="5"/>
    </row>
    <row r="424" spans="1:4" ht="51" x14ac:dyDescent="0.2">
      <c r="A424" s="26" t="s">
        <v>7</v>
      </c>
      <c r="B424" s="29" t="s">
        <v>393</v>
      </c>
      <c r="C424" s="12">
        <v>10</v>
      </c>
      <c r="D424" s="59" t="s">
        <v>394</v>
      </c>
    </row>
    <row r="425" spans="1:4" ht="25.5" x14ac:dyDescent="0.2">
      <c r="A425" s="9">
        <v>18.5</v>
      </c>
      <c r="B425" s="17" t="s">
        <v>395</v>
      </c>
      <c r="C425" s="10">
        <f>SUM(C426:C432)</f>
        <v>43</v>
      </c>
      <c r="D425" s="5"/>
    </row>
    <row r="426" spans="1:4" ht="25.5" x14ac:dyDescent="0.2">
      <c r="A426" s="26" t="s">
        <v>7</v>
      </c>
      <c r="B426" s="29" t="s">
        <v>396</v>
      </c>
      <c r="C426" s="12">
        <v>5</v>
      </c>
      <c r="D426" s="59" t="s">
        <v>397</v>
      </c>
    </row>
    <row r="427" spans="1:4" ht="25.5" x14ac:dyDescent="0.2">
      <c r="A427" s="26" t="s">
        <v>10</v>
      </c>
      <c r="B427" s="29" t="s">
        <v>398</v>
      </c>
      <c r="C427" s="12">
        <v>5</v>
      </c>
      <c r="D427" s="51" t="s">
        <v>399</v>
      </c>
    </row>
    <row r="428" spans="1:4" ht="25.5" x14ac:dyDescent="0.2">
      <c r="A428" s="26" t="s">
        <v>13</v>
      </c>
      <c r="B428" s="29" t="s">
        <v>400</v>
      </c>
      <c r="C428" s="12">
        <v>5</v>
      </c>
      <c r="D428" s="59" t="s">
        <v>401</v>
      </c>
    </row>
    <row r="429" spans="1:4" ht="33" customHeight="1" x14ac:dyDescent="0.2">
      <c r="A429" s="26" t="s">
        <v>16</v>
      </c>
      <c r="B429" s="29" t="s">
        <v>402</v>
      </c>
      <c r="C429" s="12">
        <v>5</v>
      </c>
      <c r="D429" s="51" t="s">
        <v>403</v>
      </c>
    </row>
    <row r="430" spans="1:4" ht="25.5" x14ac:dyDescent="0.2">
      <c r="A430" s="26" t="s">
        <v>112</v>
      </c>
      <c r="B430" s="29" t="s">
        <v>404</v>
      </c>
      <c r="C430" s="12">
        <v>3</v>
      </c>
      <c r="D430" s="59" t="s">
        <v>405</v>
      </c>
    </row>
    <row r="431" spans="1:4" ht="25.5" x14ac:dyDescent="0.2">
      <c r="A431" s="26" t="s">
        <v>215</v>
      </c>
      <c r="B431" s="41" t="s">
        <v>406</v>
      </c>
      <c r="C431" s="12">
        <v>10</v>
      </c>
      <c r="D431" s="51" t="s">
        <v>407</v>
      </c>
    </row>
    <row r="432" spans="1:4" ht="25.5" x14ac:dyDescent="0.2">
      <c r="A432" s="26" t="s">
        <v>321</v>
      </c>
      <c r="B432" s="29" t="s">
        <v>606</v>
      </c>
      <c r="C432" s="12">
        <v>10</v>
      </c>
      <c r="D432" s="51"/>
    </row>
    <row r="433" spans="1:4" ht="25.5" x14ac:dyDescent="0.2">
      <c r="A433" s="9">
        <v>18.600000000000001</v>
      </c>
      <c r="B433" s="17" t="s">
        <v>408</v>
      </c>
      <c r="C433" s="10">
        <f>SUM(C434:C437)</f>
        <v>21</v>
      </c>
      <c r="D433" s="5"/>
    </row>
    <row r="434" spans="1:4" ht="38.25" x14ac:dyDescent="0.2">
      <c r="A434" s="26" t="s">
        <v>7</v>
      </c>
      <c r="B434" s="29" t="s">
        <v>409</v>
      </c>
      <c r="C434" s="12">
        <v>10</v>
      </c>
      <c r="D434" s="51" t="s">
        <v>271</v>
      </c>
    </row>
    <row r="435" spans="1:4" ht="25.5" x14ac:dyDescent="0.2">
      <c r="A435" s="26" t="s">
        <v>10</v>
      </c>
      <c r="B435" s="29" t="s">
        <v>306</v>
      </c>
      <c r="C435" s="12">
        <v>5</v>
      </c>
      <c r="D435" s="59" t="s">
        <v>410</v>
      </c>
    </row>
    <row r="436" spans="1:4" ht="38.25" x14ac:dyDescent="0.2">
      <c r="A436" s="26" t="s">
        <v>13</v>
      </c>
      <c r="B436" s="29" t="s">
        <v>411</v>
      </c>
      <c r="C436" s="12">
        <v>3</v>
      </c>
      <c r="D436" s="51" t="s">
        <v>275</v>
      </c>
    </row>
    <row r="437" spans="1:4" ht="25.5" x14ac:dyDescent="0.2">
      <c r="A437" s="26" t="s">
        <v>16</v>
      </c>
      <c r="B437" s="29" t="s">
        <v>366</v>
      </c>
      <c r="C437" s="12">
        <v>3</v>
      </c>
      <c r="D437" s="51" t="s">
        <v>277</v>
      </c>
    </row>
    <row r="438" spans="1:4" x14ac:dyDescent="0.2">
      <c r="A438" s="9">
        <v>18.7</v>
      </c>
      <c r="B438" s="17" t="s">
        <v>412</v>
      </c>
      <c r="C438" s="10">
        <f>+C439</f>
        <v>5</v>
      </c>
      <c r="D438" s="5"/>
    </row>
    <row r="439" spans="1:4" ht="25.5" x14ac:dyDescent="0.2">
      <c r="A439" s="26" t="s">
        <v>7</v>
      </c>
      <c r="B439" s="15" t="s">
        <v>413</v>
      </c>
      <c r="C439" s="12">
        <v>5</v>
      </c>
      <c r="D439" s="51" t="s">
        <v>414</v>
      </c>
    </row>
    <row r="440" spans="1:4" x14ac:dyDescent="0.2">
      <c r="A440" s="9">
        <v>18.8</v>
      </c>
      <c r="B440" s="17" t="s">
        <v>415</v>
      </c>
      <c r="C440" s="10">
        <f>+C441</f>
        <v>5</v>
      </c>
      <c r="D440" s="5"/>
    </row>
    <row r="441" spans="1:4" ht="25.5" x14ac:dyDescent="0.2">
      <c r="A441" s="26" t="s">
        <v>10</v>
      </c>
      <c r="B441" s="29" t="s">
        <v>416</v>
      </c>
      <c r="C441" s="12">
        <v>5</v>
      </c>
      <c r="D441" s="51" t="s">
        <v>417</v>
      </c>
    </row>
    <row r="443" spans="1:4" ht="15" customHeight="1" x14ac:dyDescent="0.2">
      <c r="A443" s="76">
        <v>19</v>
      </c>
      <c r="B443" s="76"/>
      <c r="C443" s="76"/>
      <c r="D443" s="76"/>
    </row>
    <row r="444" spans="1:4" ht="15" customHeight="1" x14ac:dyDescent="0.2">
      <c r="A444" s="76" t="s">
        <v>418</v>
      </c>
      <c r="B444" s="76"/>
      <c r="C444" s="76"/>
      <c r="D444" s="76"/>
    </row>
    <row r="445" spans="1:4" x14ac:dyDescent="0.2">
      <c r="A445" s="76" t="s">
        <v>2</v>
      </c>
      <c r="B445" s="76"/>
      <c r="C445" s="76"/>
      <c r="D445" s="76"/>
    </row>
    <row r="446" spans="1:4" x14ac:dyDescent="0.2">
      <c r="A446" s="76"/>
      <c r="B446" s="76" t="s">
        <v>4</v>
      </c>
      <c r="C446" s="77"/>
      <c r="D446" s="5"/>
    </row>
    <row r="447" spans="1:4" x14ac:dyDescent="0.2">
      <c r="A447" s="76"/>
      <c r="B447" s="76"/>
      <c r="C447" s="77"/>
      <c r="D447" s="5"/>
    </row>
    <row r="448" spans="1:4" x14ac:dyDescent="0.2">
      <c r="A448" s="9">
        <v>19.100000000000001</v>
      </c>
      <c r="B448" s="17" t="s">
        <v>375</v>
      </c>
      <c r="C448" s="10">
        <f>SUM(C449)</f>
        <v>5</v>
      </c>
      <c r="D448" s="48" t="s">
        <v>617</v>
      </c>
    </row>
    <row r="449" spans="1:4" x14ac:dyDescent="0.2">
      <c r="A449" s="26" t="s">
        <v>7</v>
      </c>
      <c r="B449" s="29" t="s">
        <v>419</v>
      </c>
      <c r="C449" s="12">
        <v>5</v>
      </c>
      <c r="D449" s="51" t="s">
        <v>377</v>
      </c>
    </row>
    <row r="450" spans="1:4" x14ac:dyDescent="0.2">
      <c r="A450" s="9">
        <v>19.2</v>
      </c>
      <c r="B450" s="17" t="s">
        <v>378</v>
      </c>
      <c r="C450" s="10">
        <f>SUM(C451:C454)</f>
        <v>12</v>
      </c>
      <c r="D450" s="5"/>
    </row>
    <row r="451" spans="1:4" ht="25.5" x14ac:dyDescent="0.2">
      <c r="A451" s="26" t="s">
        <v>7</v>
      </c>
      <c r="B451" s="29" t="s">
        <v>379</v>
      </c>
      <c r="C451" s="12">
        <v>3</v>
      </c>
      <c r="D451" s="59" t="s">
        <v>380</v>
      </c>
    </row>
    <row r="452" spans="1:4" x14ac:dyDescent="0.2">
      <c r="A452" s="26" t="s">
        <v>10</v>
      </c>
      <c r="B452" s="29" t="s">
        <v>244</v>
      </c>
      <c r="C452" s="12">
        <v>3</v>
      </c>
      <c r="D452" s="51" t="s">
        <v>245</v>
      </c>
    </row>
    <row r="453" spans="1:4" ht="25.5" customHeight="1" x14ac:dyDescent="0.2">
      <c r="A453" s="26" t="s">
        <v>13</v>
      </c>
      <c r="B453" s="29" t="s">
        <v>381</v>
      </c>
      <c r="C453" s="12">
        <v>3</v>
      </c>
      <c r="D453" s="52" t="s">
        <v>382</v>
      </c>
    </row>
    <row r="454" spans="1:4" ht="25.5" x14ac:dyDescent="0.2">
      <c r="A454" s="26" t="s">
        <v>16</v>
      </c>
      <c r="B454" s="29" t="s">
        <v>420</v>
      </c>
      <c r="C454" s="12">
        <v>3</v>
      </c>
      <c r="D454" s="51" t="s">
        <v>151</v>
      </c>
    </row>
    <row r="455" spans="1:4" x14ac:dyDescent="0.2">
      <c r="A455" s="9">
        <v>19.3</v>
      </c>
      <c r="B455" s="17" t="s">
        <v>421</v>
      </c>
      <c r="C455" s="10">
        <f>SUM(C456:C459)</f>
        <v>14</v>
      </c>
      <c r="D455" s="4"/>
    </row>
    <row r="456" spans="1:4" ht="25.5" x14ac:dyDescent="0.2">
      <c r="A456" s="26" t="s">
        <v>7</v>
      </c>
      <c r="B456" s="41" t="s">
        <v>607</v>
      </c>
      <c r="C456" s="12">
        <v>3</v>
      </c>
      <c r="D456" s="51" t="s">
        <v>387</v>
      </c>
    </row>
    <row r="457" spans="1:4" ht="25.5" x14ac:dyDescent="0.2">
      <c r="A457" s="26" t="s">
        <v>10</v>
      </c>
      <c r="B457" s="29" t="s">
        <v>388</v>
      </c>
      <c r="C457" s="12">
        <v>3</v>
      </c>
      <c r="D457" s="51" t="s">
        <v>389</v>
      </c>
    </row>
    <row r="458" spans="1:4" ht="25.5" x14ac:dyDescent="0.2">
      <c r="A458" s="26" t="s">
        <v>13</v>
      </c>
      <c r="B458" s="29" t="s">
        <v>390</v>
      </c>
      <c r="C458" s="12">
        <v>5</v>
      </c>
      <c r="D458" s="59" t="s">
        <v>422</v>
      </c>
    </row>
    <row r="459" spans="1:4" ht="25.5" x14ac:dyDescent="0.2">
      <c r="A459" s="26" t="s">
        <v>16</v>
      </c>
      <c r="B459" s="29" t="s">
        <v>608</v>
      </c>
      <c r="C459" s="12">
        <v>3</v>
      </c>
      <c r="D459" s="51" t="s">
        <v>423</v>
      </c>
    </row>
    <row r="460" spans="1:4" x14ac:dyDescent="0.2">
      <c r="A460" s="9">
        <v>19.399999999999999</v>
      </c>
      <c r="B460" s="17" t="s">
        <v>392</v>
      </c>
      <c r="C460" s="10">
        <f>SUM(C461:C462)</f>
        <v>20</v>
      </c>
      <c r="D460" s="5"/>
    </row>
    <row r="461" spans="1:4" ht="51" x14ac:dyDescent="0.2">
      <c r="A461" s="26" t="s">
        <v>7</v>
      </c>
      <c r="B461" s="29" t="s">
        <v>424</v>
      </c>
      <c r="C461" s="12">
        <v>10</v>
      </c>
      <c r="D461" s="59" t="s">
        <v>394</v>
      </c>
    </row>
    <row r="462" spans="1:4" ht="25.5" x14ac:dyDescent="0.2">
      <c r="A462" s="26" t="s">
        <v>10</v>
      </c>
      <c r="B462" s="29" t="s">
        <v>425</v>
      </c>
      <c r="C462" s="12">
        <v>10</v>
      </c>
      <c r="D462" s="51" t="s">
        <v>426</v>
      </c>
    </row>
    <row r="463" spans="1:4" ht="25.5" x14ac:dyDescent="0.2">
      <c r="A463" s="9">
        <v>19.5</v>
      </c>
      <c r="B463" s="17" t="s">
        <v>395</v>
      </c>
      <c r="C463" s="10">
        <f>SUM(C464:C471)</f>
        <v>48</v>
      </c>
      <c r="D463" s="5"/>
    </row>
    <row r="464" spans="1:4" ht="25.5" x14ac:dyDescent="0.2">
      <c r="A464" s="26" t="s">
        <v>7</v>
      </c>
      <c r="B464" s="29" t="s">
        <v>396</v>
      </c>
      <c r="C464" s="12">
        <v>5</v>
      </c>
      <c r="D464" s="59" t="s">
        <v>397</v>
      </c>
    </row>
    <row r="465" spans="1:4" ht="25.5" x14ac:dyDescent="0.2">
      <c r="A465" s="26" t="s">
        <v>10</v>
      </c>
      <c r="B465" s="29" t="s">
        <v>398</v>
      </c>
      <c r="C465" s="12">
        <v>5</v>
      </c>
      <c r="D465" s="51" t="s">
        <v>399</v>
      </c>
    </row>
    <row r="466" spans="1:4" ht="25.5" x14ac:dyDescent="0.2">
      <c r="A466" s="26" t="s">
        <v>13</v>
      </c>
      <c r="B466" s="29" t="s">
        <v>609</v>
      </c>
      <c r="C466" s="12">
        <v>5</v>
      </c>
      <c r="D466" s="59" t="s">
        <v>427</v>
      </c>
    </row>
    <row r="467" spans="1:4" ht="25.5" x14ac:dyDescent="0.2">
      <c r="A467" s="26" t="s">
        <v>16</v>
      </c>
      <c r="B467" s="29" t="s">
        <v>428</v>
      </c>
      <c r="C467" s="12">
        <v>5</v>
      </c>
      <c r="D467" s="51" t="s">
        <v>429</v>
      </c>
    </row>
    <row r="468" spans="1:4" ht="25.5" x14ac:dyDescent="0.2">
      <c r="A468" s="26" t="s">
        <v>112</v>
      </c>
      <c r="B468" s="29" t="s">
        <v>430</v>
      </c>
      <c r="C468" s="12">
        <v>5</v>
      </c>
      <c r="D468" s="59" t="s">
        <v>431</v>
      </c>
    </row>
    <row r="469" spans="1:4" ht="25.5" x14ac:dyDescent="0.2">
      <c r="A469" s="26" t="s">
        <v>215</v>
      </c>
      <c r="B469" s="29" t="s">
        <v>432</v>
      </c>
      <c r="C469" s="12">
        <v>3</v>
      </c>
      <c r="D469" s="51" t="s">
        <v>433</v>
      </c>
    </row>
    <row r="470" spans="1:4" ht="25.5" x14ac:dyDescent="0.2">
      <c r="A470" s="26" t="s">
        <v>321</v>
      </c>
      <c r="B470" s="41" t="s">
        <v>406</v>
      </c>
      <c r="C470" s="12">
        <v>10</v>
      </c>
      <c r="D470" s="51" t="s">
        <v>407</v>
      </c>
    </row>
    <row r="471" spans="1:4" ht="25.5" x14ac:dyDescent="0.2">
      <c r="A471" s="26" t="s">
        <v>322</v>
      </c>
      <c r="B471" s="29" t="s">
        <v>610</v>
      </c>
      <c r="C471" s="12">
        <v>10</v>
      </c>
      <c r="D471" s="51"/>
    </row>
    <row r="472" spans="1:4" ht="25.5" x14ac:dyDescent="0.2">
      <c r="A472" s="9">
        <v>19.600000000000001</v>
      </c>
      <c r="B472" s="17" t="s">
        <v>408</v>
      </c>
      <c r="C472" s="10">
        <f>SUM(C473:C476)</f>
        <v>21</v>
      </c>
      <c r="D472" s="5"/>
    </row>
    <row r="473" spans="1:4" ht="38.25" x14ac:dyDescent="0.2">
      <c r="A473" s="26" t="s">
        <v>7</v>
      </c>
      <c r="B473" s="29" t="s">
        <v>434</v>
      </c>
      <c r="C473" s="12">
        <v>10</v>
      </c>
      <c r="D473" s="51" t="s">
        <v>271</v>
      </c>
    </row>
    <row r="474" spans="1:4" ht="25.5" x14ac:dyDescent="0.2">
      <c r="A474" s="26" t="s">
        <v>10</v>
      </c>
      <c r="B474" s="29" t="s">
        <v>306</v>
      </c>
      <c r="C474" s="12">
        <v>5</v>
      </c>
      <c r="D474" s="59" t="s">
        <v>410</v>
      </c>
    </row>
    <row r="475" spans="1:4" ht="38.25" x14ac:dyDescent="0.2">
      <c r="A475" s="26" t="s">
        <v>13</v>
      </c>
      <c r="B475" s="29" t="s">
        <v>411</v>
      </c>
      <c r="C475" s="12">
        <v>3</v>
      </c>
      <c r="D475" s="51" t="s">
        <v>275</v>
      </c>
    </row>
    <row r="476" spans="1:4" ht="25.5" x14ac:dyDescent="0.2">
      <c r="A476" s="26" t="s">
        <v>16</v>
      </c>
      <c r="B476" s="29" t="s">
        <v>366</v>
      </c>
      <c r="C476" s="12">
        <v>3</v>
      </c>
      <c r="D476" s="51" t="s">
        <v>277</v>
      </c>
    </row>
    <row r="477" spans="1:4" x14ac:dyDescent="0.2">
      <c r="A477" s="9">
        <v>19.7</v>
      </c>
      <c r="B477" s="17" t="s">
        <v>412</v>
      </c>
      <c r="C477" s="10">
        <f>+C478</f>
        <v>5</v>
      </c>
      <c r="D477" s="5"/>
    </row>
    <row r="478" spans="1:4" ht="25.5" x14ac:dyDescent="0.2">
      <c r="A478" s="26" t="s">
        <v>7</v>
      </c>
      <c r="B478" s="15" t="s">
        <v>413</v>
      </c>
      <c r="C478" s="12">
        <v>5</v>
      </c>
      <c r="D478" s="51" t="s">
        <v>414</v>
      </c>
    </row>
    <row r="479" spans="1:4" x14ac:dyDescent="0.2">
      <c r="A479" s="9">
        <v>19.8</v>
      </c>
      <c r="B479" s="17" t="s">
        <v>435</v>
      </c>
      <c r="C479" s="10">
        <f>+C480</f>
        <v>5</v>
      </c>
      <c r="D479" s="5"/>
    </row>
    <row r="480" spans="1:4" ht="25.5" x14ac:dyDescent="0.2">
      <c r="A480" s="26" t="s">
        <v>7</v>
      </c>
      <c r="B480" s="29" t="s">
        <v>416</v>
      </c>
      <c r="C480" s="12">
        <v>5</v>
      </c>
      <c r="D480" s="2" t="s">
        <v>417</v>
      </c>
    </row>
    <row r="482" spans="1:4" ht="15" customHeight="1" x14ac:dyDescent="0.2">
      <c r="A482" s="76">
        <v>20</v>
      </c>
      <c r="B482" s="76"/>
      <c r="C482" s="76"/>
      <c r="D482" s="76"/>
    </row>
    <row r="483" spans="1:4" ht="15" customHeight="1" x14ac:dyDescent="0.2">
      <c r="A483" s="76" t="s">
        <v>436</v>
      </c>
      <c r="B483" s="76"/>
      <c r="C483" s="76"/>
      <c r="D483" s="76"/>
    </row>
    <row r="484" spans="1:4" ht="15" customHeight="1" x14ac:dyDescent="0.2">
      <c r="A484" s="76" t="s">
        <v>437</v>
      </c>
      <c r="B484" s="76"/>
      <c r="C484" s="76"/>
      <c r="D484" s="76"/>
    </row>
    <row r="485" spans="1:4" x14ac:dyDescent="0.2">
      <c r="A485" s="76"/>
      <c r="B485" s="76" t="s">
        <v>4</v>
      </c>
      <c r="C485" s="77"/>
      <c r="D485" s="5"/>
    </row>
    <row r="486" spans="1:4" x14ac:dyDescent="0.2">
      <c r="A486" s="76"/>
      <c r="B486" s="76"/>
      <c r="C486" s="77"/>
      <c r="D486" s="5"/>
    </row>
    <row r="487" spans="1:4" x14ac:dyDescent="0.2">
      <c r="A487" s="9">
        <v>20.100000000000001</v>
      </c>
      <c r="B487" s="17" t="s">
        <v>375</v>
      </c>
      <c r="C487" s="10">
        <f>+C488</f>
        <v>5</v>
      </c>
      <c r="D487" s="48" t="s">
        <v>617</v>
      </c>
    </row>
    <row r="488" spans="1:4" x14ac:dyDescent="0.2">
      <c r="A488" s="26" t="s">
        <v>7</v>
      </c>
      <c r="B488" s="29" t="s">
        <v>438</v>
      </c>
      <c r="C488" s="12">
        <v>5</v>
      </c>
      <c r="D488" s="51" t="s">
        <v>377</v>
      </c>
    </row>
    <row r="489" spans="1:4" x14ac:dyDescent="0.2">
      <c r="A489" s="9">
        <v>20.2</v>
      </c>
      <c r="B489" s="17" t="s">
        <v>378</v>
      </c>
      <c r="C489" s="10">
        <f>SUM(C490:C494)</f>
        <v>23</v>
      </c>
      <c r="D489" s="5"/>
    </row>
    <row r="490" spans="1:4" ht="25.5" x14ac:dyDescent="0.2">
      <c r="A490" s="26" t="s">
        <v>7</v>
      </c>
      <c r="B490" s="29" t="s">
        <v>439</v>
      </c>
      <c r="C490" s="12">
        <v>3</v>
      </c>
      <c r="D490" s="59" t="s">
        <v>380</v>
      </c>
    </row>
    <row r="491" spans="1:4" x14ac:dyDescent="0.2">
      <c r="A491" s="26" t="s">
        <v>10</v>
      </c>
      <c r="B491" s="29" t="s">
        <v>244</v>
      </c>
      <c r="C491" s="12">
        <v>3</v>
      </c>
      <c r="D491" s="51" t="s">
        <v>245</v>
      </c>
    </row>
    <row r="492" spans="1:4" x14ac:dyDescent="0.2">
      <c r="A492" s="26" t="s">
        <v>13</v>
      </c>
      <c r="B492" s="29" t="s">
        <v>381</v>
      </c>
      <c r="C492" s="12">
        <v>3</v>
      </c>
      <c r="D492" s="52" t="s">
        <v>440</v>
      </c>
    </row>
    <row r="493" spans="1:4" ht="25.5" x14ac:dyDescent="0.2">
      <c r="A493" s="26" t="s">
        <v>16</v>
      </c>
      <c r="B493" s="29" t="s">
        <v>441</v>
      </c>
      <c r="C493" s="12">
        <v>3</v>
      </c>
      <c r="D493" s="51" t="s">
        <v>151</v>
      </c>
    </row>
    <row r="494" spans="1:4" x14ac:dyDescent="0.2">
      <c r="A494" s="9">
        <v>20.3</v>
      </c>
      <c r="B494" s="17" t="s">
        <v>442</v>
      </c>
      <c r="C494" s="18">
        <f>SUM(C495:C497)</f>
        <v>11</v>
      </c>
      <c r="D494" s="5"/>
    </row>
    <row r="495" spans="1:4" ht="25.5" x14ac:dyDescent="0.2">
      <c r="A495" s="26" t="s">
        <v>7</v>
      </c>
      <c r="B495" s="41" t="s">
        <v>611</v>
      </c>
      <c r="C495" s="42">
        <v>3</v>
      </c>
      <c r="D495" s="51" t="s">
        <v>443</v>
      </c>
    </row>
    <row r="496" spans="1:4" ht="25.5" x14ac:dyDescent="0.2">
      <c r="A496" s="26" t="s">
        <v>10</v>
      </c>
      <c r="B496" s="29" t="s">
        <v>388</v>
      </c>
      <c r="C496" s="12">
        <v>3</v>
      </c>
      <c r="D496" s="51" t="s">
        <v>389</v>
      </c>
    </row>
    <row r="497" spans="1:4" ht="38.25" x14ac:dyDescent="0.2">
      <c r="A497" s="26" t="s">
        <v>13</v>
      </c>
      <c r="B497" s="29" t="s">
        <v>444</v>
      </c>
      <c r="C497" s="12">
        <v>5</v>
      </c>
      <c r="D497" s="59" t="s">
        <v>391</v>
      </c>
    </row>
    <row r="498" spans="1:4" x14ac:dyDescent="0.2">
      <c r="A498" s="9">
        <v>20.399999999999999</v>
      </c>
      <c r="B498" s="17" t="s">
        <v>392</v>
      </c>
      <c r="C498" s="10">
        <f>SUM(C499:C500)</f>
        <v>10</v>
      </c>
      <c r="D498" s="5"/>
    </row>
    <row r="499" spans="1:4" ht="51" x14ac:dyDescent="0.2">
      <c r="A499" s="26" t="s">
        <v>7</v>
      </c>
      <c r="B499" s="29" t="s">
        <v>445</v>
      </c>
      <c r="C499" s="12">
        <v>5</v>
      </c>
      <c r="D499" s="59" t="s">
        <v>394</v>
      </c>
    </row>
    <row r="500" spans="1:4" x14ac:dyDescent="0.2">
      <c r="A500" s="43" t="s">
        <v>10</v>
      </c>
      <c r="B500" s="29" t="s">
        <v>446</v>
      </c>
      <c r="C500" s="12">
        <v>5</v>
      </c>
      <c r="D500" s="51" t="s">
        <v>447</v>
      </c>
    </row>
    <row r="501" spans="1:4" ht="25.5" x14ac:dyDescent="0.2">
      <c r="A501" s="9">
        <v>20.5</v>
      </c>
      <c r="B501" s="17" t="s">
        <v>395</v>
      </c>
      <c r="C501" s="10">
        <f>SUM(C502:C506)</f>
        <v>33</v>
      </c>
      <c r="D501" s="5"/>
    </row>
    <row r="502" spans="1:4" ht="38.25" x14ac:dyDescent="0.2">
      <c r="A502" s="26" t="s">
        <v>7</v>
      </c>
      <c r="B502" s="29" t="s">
        <v>448</v>
      </c>
      <c r="C502" s="12">
        <v>5</v>
      </c>
      <c r="D502" s="59" t="s">
        <v>397</v>
      </c>
    </row>
    <row r="503" spans="1:4" ht="38.25" x14ac:dyDescent="0.2">
      <c r="A503" s="26" t="s">
        <v>10</v>
      </c>
      <c r="B503" s="29" t="s">
        <v>449</v>
      </c>
      <c r="C503" s="12">
        <v>5</v>
      </c>
      <c r="D503" s="51" t="s">
        <v>399</v>
      </c>
    </row>
    <row r="504" spans="1:4" x14ac:dyDescent="0.2">
      <c r="A504" s="26" t="s">
        <v>13</v>
      </c>
      <c r="B504" s="29" t="s">
        <v>432</v>
      </c>
      <c r="C504" s="12">
        <v>3</v>
      </c>
      <c r="D504" s="59" t="s">
        <v>450</v>
      </c>
    </row>
    <row r="505" spans="1:4" ht="25.5" x14ac:dyDescent="0.2">
      <c r="A505" s="26" t="s">
        <v>16</v>
      </c>
      <c r="B505" s="41" t="s">
        <v>406</v>
      </c>
      <c r="C505" s="12">
        <v>10</v>
      </c>
      <c r="D505" s="51" t="s">
        <v>407</v>
      </c>
    </row>
    <row r="506" spans="1:4" ht="25.5" x14ac:dyDescent="0.2">
      <c r="A506" s="26" t="s">
        <v>112</v>
      </c>
      <c r="B506" s="29" t="s">
        <v>610</v>
      </c>
      <c r="C506" s="12">
        <v>10</v>
      </c>
      <c r="D506" s="51"/>
    </row>
    <row r="507" spans="1:4" ht="25.5" x14ac:dyDescent="0.2">
      <c r="A507" s="9">
        <v>20.6</v>
      </c>
      <c r="B507" s="17" t="s">
        <v>408</v>
      </c>
      <c r="C507" s="10">
        <f>SUM(C508:C511)</f>
        <v>21</v>
      </c>
      <c r="D507" s="5"/>
    </row>
    <row r="508" spans="1:4" ht="38.25" x14ac:dyDescent="0.2">
      <c r="A508" s="26" t="s">
        <v>7</v>
      </c>
      <c r="B508" s="29" t="s">
        <v>434</v>
      </c>
      <c r="C508" s="12">
        <v>10</v>
      </c>
      <c r="D508" s="51" t="s">
        <v>271</v>
      </c>
    </row>
    <row r="509" spans="1:4" ht="25.5" x14ac:dyDescent="0.2">
      <c r="A509" s="26" t="s">
        <v>10</v>
      </c>
      <c r="B509" s="29" t="s">
        <v>306</v>
      </c>
      <c r="C509" s="12">
        <v>5</v>
      </c>
      <c r="D509" s="59" t="s">
        <v>410</v>
      </c>
    </row>
    <row r="510" spans="1:4" ht="38.25" x14ac:dyDescent="0.2">
      <c r="A510" s="26" t="s">
        <v>13</v>
      </c>
      <c r="B510" s="29" t="s">
        <v>411</v>
      </c>
      <c r="C510" s="12">
        <v>3</v>
      </c>
      <c r="D510" s="51" t="s">
        <v>275</v>
      </c>
    </row>
    <row r="511" spans="1:4" ht="25.5" x14ac:dyDescent="0.2">
      <c r="A511" s="26" t="s">
        <v>16</v>
      </c>
      <c r="B511" s="29" t="s">
        <v>366</v>
      </c>
      <c r="C511" s="12">
        <v>3</v>
      </c>
      <c r="D511" s="51" t="s">
        <v>277</v>
      </c>
    </row>
    <row r="512" spans="1:4" x14ac:dyDescent="0.2">
      <c r="A512" s="9">
        <v>20.7</v>
      </c>
      <c r="B512" s="17" t="s">
        <v>412</v>
      </c>
      <c r="C512" s="10">
        <f>+C513</f>
        <v>5</v>
      </c>
      <c r="D512" s="5"/>
    </row>
    <row r="513" spans="1:4" ht="25.5" x14ac:dyDescent="0.2">
      <c r="A513" s="26" t="s">
        <v>7</v>
      </c>
      <c r="B513" s="15" t="s">
        <v>413</v>
      </c>
      <c r="C513" s="12">
        <v>5</v>
      </c>
      <c r="D513" s="51" t="s">
        <v>414</v>
      </c>
    </row>
    <row r="514" spans="1:4" x14ac:dyDescent="0.2">
      <c r="A514" s="9">
        <v>20.8</v>
      </c>
      <c r="B514" s="17" t="s">
        <v>451</v>
      </c>
      <c r="C514" s="10">
        <f>+C515</f>
        <v>5</v>
      </c>
      <c r="D514" s="5"/>
    </row>
    <row r="515" spans="1:4" ht="25.5" x14ac:dyDescent="0.2">
      <c r="A515" s="26" t="s">
        <v>7</v>
      </c>
      <c r="B515" s="29" t="s">
        <v>416</v>
      </c>
      <c r="C515" s="12">
        <v>5</v>
      </c>
      <c r="D515" s="51" t="s">
        <v>417</v>
      </c>
    </row>
    <row r="517" spans="1:4" ht="15" customHeight="1" x14ac:dyDescent="0.2">
      <c r="A517" s="79">
        <v>21</v>
      </c>
      <c r="B517" s="80"/>
      <c r="C517" s="80"/>
      <c r="D517" s="81"/>
    </row>
    <row r="518" spans="1:4" ht="15" customHeight="1" x14ac:dyDescent="0.2">
      <c r="A518" s="79" t="s">
        <v>436</v>
      </c>
      <c r="B518" s="80"/>
      <c r="C518" s="80"/>
      <c r="D518" s="81"/>
    </row>
    <row r="519" spans="1:4" ht="15" customHeight="1" x14ac:dyDescent="0.2">
      <c r="A519" s="79" t="s">
        <v>452</v>
      </c>
      <c r="B519" s="80"/>
      <c r="C519" s="80"/>
      <c r="D519" s="81"/>
    </row>
    <row r="520" spans="1:4" x14ac:dyDescent="0.2">
      <c r="A520" s="76"/>
      <c r="B520" s="76" t="s">
        <v>4</v>
      </c>
      <c r="C520" s="77"/>
      <c r="D520" s="5"/>
    </row>
    <row r="521" spans="1:4" x14ac:dyDescent="0.2">
      <c r="A521" s="76"/>
      <c r="B521" s="76"/>
      <c r="C521" s="77"/>
      <c r="D521" s="5"/>
    </row>
    <row r="522" spans="1:4" x14ac:dyDescent="0.2">
      <c r="A522" s="9">
        <v>21.1</v>
      </c>
      <c r="B522" s="17" t="s">
        <v>375</v>
      </c>
      <c r="C522" s="10">
        <f>+C524</f>
        <v>5</v>
      </c>
      <c r="D522" s="48" t="s">
        <v>617</v>
      </c>
    </row>
    <row r="523" spans="1:4" ht="38.25" x14ac:dyDescent="0.2">
      <c r="A523" s="26" t="s">
        <v>7</v>
      </c>
      <c r="B523" s="29" t="s">
        <v>453</v>
      </c>
      <c r="C523" s="12">
        <v>10</v>
      </c>
      <c r="D523" s="51" t="s">
        <v>454</v>
      </c>
    </row>
    <row r="524" spans="1:4" ht="25.5" x14ac:dyDescent="0.2">
      <c r="A524" s="26" t="s">
        <v>10</v>
      </c>
      <c r="B524" s="29" t="s">
        <v>455</v>
      </c>
      <c r="C524" s="12">
        <v>5</v>
      </c>
      <c r="D524" s="51" t="s">
        <v>454</v>
      </c>
    </row>
    <row r="525" spans="1:4" x14ac:dyDescent="0.2">
      <c r="A525" s="9">
        <v>21.2</v>
      </c>
      <c r="B525" s="17" t="s">
        <v>378</v>
      </c>
      <c r="C525" s="10">
        <f>SUM(C526:C529)</f>
        <v>12</v>
      </c>
      <c r="D525" s="5"/>
    </row>
    <row r="526" spans="1:4" ht="25.5" x14ac:dyDescent="0.2">
      <c r="A526" s="26" t="s">
        <v>7</v>
      </c>
      <c r="B526" s="29" t="s">
        <v>456</v>
      </c>
      <c r="C526" s="12">
        <v>3</v>
      </c>
      <c r="D526" s="59" t="s">
        <v>457</v>
      </c>
    </row>
    <row r="527" spans="1:4" x14ac:dyDescent="0.2">
      <c r="A527" s="26" t="s">
        <v>13</v>
      </c>
      <c r="B527" s="29" t="s">
        <v>244</v>
      </c>
      <c r="C527" s="12">
        <v>3</v>
      </c>
      <c r="D527" s="51" t="s">
        <v>245</v>
      </c>
    </row>
    <row r="528" spans="1:4" x14ac:dyDescent="0.2">
      <c r="A528" s="26" t="s">
        <v>16</v>
      </c>
      <c r="B528" s="29" t="s">
        <v>381</v>
      </c>
      <c r="C528" s="12">
        <v>3</v>
      </c>
      <c r="D528" s="52" t="s">
        <v>382</v>
      </c>
    </row>
    <row r="529" spans="1:4" ht="25.5" x14ac:dyDescent="0.2">
      <c r="A529" s="26" t="s">
        <v>112</v>
      </c>
      <c r="B529" s="29" t="s">
        <v>458</v>
      </c>
      <c r="C529" s="12">
        <v>3</v>
      </c>
      <c r="D529" s="51" t="s">
        <v>151</v>
      </c>
    </row>
    <row r="530" spans="1:4" x14ac:dyDescent="0.2">
      <c r="A530" s="9">
        <v>21.3</v>
      </c>
      <c r="B530" s="17" t="s">
        <v>442</v>
      </c>
      <c r="C530" s="10">
        <f>SUM(C531:C533)</f>
        <v>11</v>
      </c>
      <c r="D530" s="5"/>
    </row>
    <row r="531" spans="1:4" ht="25.5" x14ac:dyDescent="0.2">
      <c r="A531" s="26" t="s">
        <v>7</v>
      </c>
      <c r="B531" s="41" t="s">
        <v>612</v>
      </c>
      <c r="C531" s="12">
        <v>3</v>
      </c>
      <c r="D531" s="51" t="s">
        <v>443</v>
      </c>
    </row>
    <row r="532" spans="1:4" ht="25.5" x14ac:dyDescent="0.2">
      <c r="A532" s="26" t="s">
        <v>10</v>
      </c>
      <c r="B532" s="29" t="s">
        <v>388</v>
      </c>
      <c r="C532" s="12">
        <v>3</v>
      </c>
      <c r="D532" s="51" t="s">
        <v>389</v>
      </c>
    </row>
    <row r="533" spans="1:4" ht="25.5" x14ac:dyDescent="0.2">
      <c r="A533" s="26" t="s">
        <v>13</v>
      </c>
      <c r="B533" s="29" t="s">
        <v>390</v>
      </c>
      <c r="C533" s="12">
        <v>5</v>
      </c>
      <c r="D533" s="59" t="s">
        <v>391</v>
      </c>
    </row>
    <row r="534" spans="1:4" x14ac:dyDescent="0.2">
      <c r="A534" s="9">
        <v>21.4</v>
      </c>
      <c r="B534" s="17" t="s">
        <v>392</v>
      </c>
      <c r="C534" s="10">
        <f>SUM(C535:C536)</f>
        <v>20</v>
      </c>
      <c r="D534" s="5"/>
    </row>
    <row r="535" spans="1:4" ht="51" x14ac:dyDescent="0.2">
      <c r="A535" s="26" t="s">
        <v>7</v>
      </c>
      <c r="B535" s="29" t="s">
        <v>445</v>
      </c>
      <c r="C535" s="12">
        <v>10</v>
      </c>
      <c r="D535" s="59" t="s">
        <v>394</v>
      </c>
    </row>
    <row r="536" spans="1:4" x14ac:dyDescent="0.2">
      <c r="A536" s="43" t="s">
        <v>10</v>
      </c>
      <c r="B536" s="29" t="s">
        <v>459</v>
      </c>
      <c r="C536" s="12">
        <v>10</v>
      </c>
      <c r="D536" s="51" t="s">
        <v>447</v>
      </c>
    </row>
    <row r="537" spans="1:4" ht="25.5" x14ac:dyDescent="0.2">
      <c r="A537" s="9">
        <v>21.5</v>
      </c>
      <c r="B537" s="17" t="s">
        <v>460</v>
      </c>
      <c r="C537" s="10">
        <f>SUM(C538:C541)</f>
        <v>23</v>
      </c>
      <c r="D537" s="5"/>
    </row>
    <row r="538" spans="1:4" ht="25.5" x14ac:dyDescent="0.2">
      <c r="A538" s="26" t="s">
        <v>7</v>
      </c>
      <c r="B538" s="29" t="s">
        <v>461</v>
      </c>
      <c r="C538" s="12">
        <v>5</v>
      </c>
      <c r="D538" s="59" t="s">
        <v>462</v>
      </c>
    </row>
    <row r="539" spans="1:4" ht="38.25" x14ac:dyDescent="0.2">
      <c r="A539" s="26" t="s">
        <v>10</v>
      </c>
      <c r="B539" s="29" t="s">
        <v>463</v>
      </c>
      <c r="C539" s="12">
        <v>5</v>
      </c>
      <c r="D539" s="51" t="s">
        <v>464</v>
      </c>
    </row>
    <row r="540" spans="1:4" x14ac:dyDescent="0.2">
      <c r="A540" s="26" t="s">
        <v>13</v>
      </c>
      <c r="B540" s="29" t="s">
        <v>432</v>
      </c>
      <c r="C540" s="12">
        <v>3</v>
      </c>
      <c r="D540" s="59" t="s">
        <v>450</v>
      </c>
    </row>
    <row r="541" spans="1:4" ht="25.5" x14ac:dyDescent="0.2">
      <c r="A541" s="26" t="s">
        <v>16</v>
      </c>
      <c r="B541" s="41" t="s">
        <v>406</v>
      </c>
      <c r="C541" s="12">
        <v>10</v>
      </c>
      <c r="D541" s="51" t="s">
        <v>407</v>
      </c>
    </row>
    <row r="542" spans="1:4" ht="25.5" x14ac:dyDescent="0.2">
      <c r="A542" s="9">
        <v>21.6</v>
      </c>
      <c r="B542" s="17" t="s">
        <v>408</v>
      </c>
      <c r="C542" s="10">
        <f>SUM(C543:C546)</f>
        <v>21</v>
      </c>
      <c r="D542" s="5"/>
    </row>
    <row r="543" spans="1:4" ht="38.25" x14ac:dyDescent="0.2">
      <c r="A543" s="26" t="s">
        <v>7</v>
      </c>
      <c r="B543" s="29" t="s">
        <v>434</v>
      </c>
      <c r="C543" s="12">
        <v>10</v>
      </c>
      <c r="D543" s="51" t="s">
        <v>271</v>
      </c>
    </row>
    <row r="544" spans="1:4" ht="25.5" x14ac:dyDescent="0.2">
      <c r="A544" s="26" t="s">
        <v>10</v>
      </c>
      <c r="B544" s="29" t="s">
        <v>306</v>
      </c>
      <c r="C544" s="12">
        <v>5</v>
      </c>
      <c r="D544" s="59" t="s">
        <v>410</v>
      </c>
    </row>
    <row r="545" spans="1:4" ht="38.25" x14ac:dyDescent="0.2">
      <c r="A545" s="26" t="s">
        <v>13</v>
      </c>
      <c r="B545" s="29" t="s">
        <v>411</v>
      </c>
      <c r="C545" s="12">
        <v>3</v>
      </c>
      <c r="D545" s="51" t="s">
        <v>275</v>
      </c>
    </row>
    <row r="546" spans="1:4" ht="25.5" x14ac:dyDescent="0.2">
      <c r="A546" s="26" t="s">
        <v>16</v>
      </c>
      <c r="B546" s="29" t="s">
        <v>366</v>
      </c>
      <c r="C546" s="12">
        <v>3</v>
      </c>
      <c r="D546" s="51" t="s">
        <v>277</v>
      </c>
    </row>
    <row r="547" spans="1:4" x14ac:dyDescent="0.2">
      <c r="A547" s="9">
        <v>21.7</v>
      </c>
      <c r="B547" s="17" t="s">
        <v>465</v>
      </c>
      <c r="C547" s="10">
        <f>+C548</f>
        <v>5</v>
      </c>
      <c r="D547" s="5"/>
    </row>
    <row r="548" spans="1:4" ht="25.5" x14ac:dyDescent="0.2">
      <c r="A548" s="26" t="s">
        <v>10</v>
      </c>
      <c r="B548" s="29" t="s">
        <v>416</v>
      </c>
      <c r="C548" s="12">
        <v>5</v>
      </c>
      <c r="D548" s="51" t="s">
        <v>417</v>
      </c>
    </row>
    <row r="549" spans="1:4" x14ac:dyDescent="0.2">
      <c r="A549" s="78"/>
      <c r="B549" s="78"/>
    </row>
    <row r="550" spans="1:4" ht="15" customHeight="1" x14ac:dyDescent="0.2">
      <c r="A550" s="79">
        <v>22</v>
      </c>
      <c r="B550" s="80"/>
      <c r="C550" s="80"/>
      <c r="D550" s="81"/>
    </row>
    <row r="551" spans="1:4" ht="15" customHeight="1" x14ac:dyDescent="0.2">
      <c r="A551" s="79" t="s">
        <v>436</v>
      </c>
      <c r="B551" s="80"/>
      <c r="C551" s="80"/>
      <c r="D551" s="81"/>
    </row>
    <row r="552" spans="1:4" ht="15" customHeight="1" x14ac:dyDescent="0.2">
      <c r="A552" s="79" t="s">
        <v>466</v>
      </c>
      <c r="B552" s="80"/>
      <c r="C552" s="80"/>
      <c r="D552" s="81"/>
    </row>
    <row r="553" spans="1:4" x14ac:dyDescent="0.2">
      <c r="A553" s="76"/>
      <c r="B553" s="76" t="s">
        <v>4</v>
      </c>
      <c r="C553" s="77"/>
      <c r="D553" s="5"/>
    </row>
    <row r="554" spans="1:4" x14ac:dyDescent="0.2">
      <c r="A554" s="76"/>
      <c r="B554" s="76"/>
      <c r="C554" s="77"/>
      <c r="D554" s="5"/>
    </row>
    <row r="555" spans="1:4" x14ac:dyDescent="0.2">
      <c r="A555" s="9">
        <v>22.1</v>
      </c>
      <c r="B555" s="17" t="s">
        <v>375</v>
      </c>
      <c r="C555" s="10">
        <f>+C556</f>
        <v>10</v>
      </c>
      <c r="D555" s="48" t="s">
        <v>617</v>
      </c>
    </row>
    <row r="556" spans="1:4" ht="38.25" x14ac:dyDescent="0.2">
      <c r="A556" s="26" t="s">
        <v>7</v>
      </c>
      <c r="B556" s="29" t="s">
        <v>467</v>
      </c>
      <c r="C556" s="12">
        <v>10</v>
      </c>
      <c r="D556" s="51" t="s">
        <v>454</v>
      </c>
    </row>
    <row r="557" spans="1:4" x14ac:dyDescent="0.2">
      <c r="A557" s="9">
        <v>22.2</v>
      </c>
      <c r="B557" s="17" t="s">
        <v>468</v>
      </c>
      <c r="C557" s="10">
        <f>+C558</f>
        <v>10</v>
      </c>
      <c r="D557" s="5"/>
    </row>
    <row r="558" spans="1:4" ht="25.5" x14ac:dyDescent="0.2">
      <c r="A558" s="26" t="s">
        <v>7</v>
      </c>
      <c r="B558" s="29" t="s">
        <v>469</v>
      </c>
      <c r="C558" s="12">
        <v>10</v>
      </c>
      <c r="D558" s="51" t="s">
        <v>470</v>
      </c>
    </row>
    <row r="559" spans="1:4" x14ac:dyDescent="0.2">
      <c r="A559" s="9">
        <v>22.3</v>
      </c>
      <c r="B559" s="17" t="s">
        <v>378</v>
      </c>
      <c r="C559" s="10">
        <f>SUM(C560:C563)</f>
        <v>12</v>
      </c>
      <c r="D559" s="5"/>
    </row>
    <row r="560" spans="1:4" ht="25.5" x14ac:dyDescent="0.2">
      <c r="A560" s="26" t="s">
        <v>7</v>
      </c>
      <c r="B560" s="29" t="s">
        <v>456</v>
      </c>
      <c r="C560" s="12">
        <v>3</v>
      </c>
      <c r="D560" s="59" t="s">
        <v>471</v>
      </c>
    </row>
    <row r="561" spans="1:4" x14ac:dyDescent="0.2">
      <c r="A561" s="26" t="s">
        <v>10</v>
      </c>
      <c r="B561" s="29" t="s">
        <v>472</v>
      </c>
      <c r="C561" s="12">
        <v>3</v>
      </c>
      <c r="D561" s="51" t="s">
        <v>245</v>
      </c>
    </row>
    <row r="562" spans="1:4" x14ac:dyDescent="0.2">
      <c r="A562" s="26" t="s">
        <v>13</v>
      </c>
      <c r="B562" s="29" t="s">
        <v>473</v>
      </c>
      <c r="C562" s="12">
        <v>3</v>
      </c>
      <c r="D562" s="52" t="s">
        <v>474</v>
      </c>
    </row>
    <row r="563" spans="1:4" x14ac:dyDescent="0.2">
      <c r="A563" s="26" t="s">
        <v>16</v>
      </c>
      <c r="B563" s="29" t="s">
        <v>475</v>
      </c>
      <c r="C563" s="12">
        <v>3</v>
      </c>
      <c r="D563" s="51" t="s">
        <v>151</v>
      </c>
    </row>
    <row r="564" spans="1:4" x14ac:dyDescent="0.2">
      <c r="A564" s="9">
        <v>22.4</v>
      </c>
      <c r="B564" s="17" t="s">
        <v>442</v>
      </c>
      <c r="C564" s="10">
        <f>SUM(C565:C567)</f>
        <v>11</v>
      </c>
      <c r="D564" s="5"/>
    </row>
    <row r="565" spans="1:4" ht="25.5" x14ac:dyDescent="0.2">
      <c r="A565" s="26" t="s">
        <v>7</v>
      </c>
      <c r="B565" s="41" t="s">
        <v>613</v>
      </c>
      <c r="C565" s="12">
        <v>3</v>
      </c>
      <c r="D565" s="51" t="s">
        <v>443</v>
      </c>
    </row>
    <row r="566" spans="1:4" ht="25.5" x14ac:dyDescent="0.2">
      <c r="A566" s="26" t="s">
        <v>10</v>
      </c>
      <c r="B566" s="29" t="s">
        <v>388</v>
      </c>
      <c r="C566" s="12">
        <v>3</v>
      </c>
      <c r="D566" s="51" t="s">
        <v>389</v>
      </c>
    </row>
    <row r="567" spans="1:4" ht="25.5" x14ac:dyDescent="0.2">
      <c r="A567" s="26" t="s">
        <v>13</v>
      </c>
      <c r="B567" s="29" t="s">
        <v>390</v>
      </c>
      <c r="C567" s="12">
        <v>5</v>
      </c>
      <c r="D567" s="59" t="s">
        <v>391</v>
      </c>
    </row>
    <row r="568" spans="1:4" x14ac:dyDescent="0.2">
      <c r="A568" s="9">
        <v>22.5</v>
      </c>
      <c r="B568" s="17" t="s">
        <v>392</v>
      </c>
      <c r="C568" s="10">
        <f>+C569+C570</f>
        <v>20</v>
      </c>
      <c r="D568" s="5"/>
    </row>
    <row r="569" spans="1:4" ht="51" x14ac:dyDescent="0.2">
      <c r="A569" s="26" t="s">
        <v>7</v>
      </c>
      <c r="B569" s="29" t="s">
        <v>445</v>
      </c>
      <c r="C569" s="12">
        <v>10</v>
      </c>
      <c r="D569" s="59" t="s">
        <v>394</v>
      </c>
    </row>
    <row r="570" spans="1:4" ht="25.5" x14ac:dyDescent="0.2">
      <c r="A570" s="26" t="s">
        <v>10</v>
      </c>
      <c r="B570" s="29" t="s">
        <v>476</v>
      </c>
      <c r="C570" s="12">
        <v>10</v>
      </c>
      <c r="D570" s="51" t="s">
        <v>477</v>
      </c>
    </row>
    <row r="571" spans="1:4" ht="25.5" x14ac:dyDescent="0.2">
      <c r="A571" s="9">
        <v>22.6</v>
      </c>
      <c r="B571" s="17" t="s">
        <v>460</v>
      </c>
      <c r="C571" s="10">
        <f>SUM(C572:C576)</f>
        <v>33</v>
      </c>
      <c r="D571" s="5"/>
    </row>
    <row r="572" spans="1:4" ht="25.5" x14ac:dyDescent="0.2">
      <c r="A572" s="26" t="s">
        <v>7</v>
      </c>
      <c r="B572" s="29" t="s">
        <v>461</v>
      </c>
      <c r="C572" s="12">
        <v>5</v>
      </c>
      <c r="D572" s="59" t="s">
        <v>462</v>
      </c>
    </row>
    <row r="573" spans="1:4" ht="38.25" x14ac:dyDescent="0.2">
      <c r="A573" s="26" t="s">
        <v>10</v>
      </c>
      <c r="B573" s="29" t="s">
        <v>478</v>
      </c>
      <c r="C573" s="12">
        <v>5</v>
      </c>
      <c r="D573" s="51" t="s">
        <v>464</v>
      </c>
    </row>
    <row r="574" spans="1:4" x14ac:dyDescent="0.2">
      <c r="A574" s="26" t="s">
        <v>13</v>
      </c>
      <c r="B574" s="29" t="s">
        <v>432</v>
      </c>
      <c r="C574" s="12">
        <v>3</v>
      </c>
      <c r="D574" s="59" t="s">
        <v>450</v>
      </c>
    </row>
    <row r="575" spans="1:4" ht="25.5" x14ac:dyDescent="0.2">
      <c r="A575" s="26" t="s">
        <v>16</v>
      </c>
      <c r="B575" s="41" t="s">
        <v>614</v>
      </c>
      <c r="C575" s="12">
        <v>10</v>
      </c>
      <c r="D575" s="51" t="s">
        <v>407</v>
      </c>
    </row>
    <row r="576" spans="1:4" ht="25.5" x14ac:dyDescent="0.2">
      <c r="A576" s="26" t="s">
        <v>112</v>
      </c>
      <c r="B576" s="29" t="s">
        <v>615</v>
      </c>
      <c r="C576" s="12">
        <v>10</v>
      </c>
      <c r="D576" s="51"/>
    </row>
    <row r="577" spans="1:4" ht="25.5" x14ac:dyDescent="0.2">
      <c r="A577" s="9">
        <v>22.7</v>
      </c>
      <c r="B577" s="17" t="s">
        <v>408</v>
      </c>
      <c r="C577" s="10">
        <f>SUM(C578:C581)</f>
        <v>21</v>
      </c>
      <c r="D577" s="5"/>
    </row>
    <row r="578" spans="1:4" ht="38.25" x14ac:dyDescent="0.2">
      <c r="A578" s="26" t="s">
        <v>7</v>
      </c>
      <c r="B578" s="29" t="s">
        <v>409</v>
      </c>
      <c r="C578" s="37">
        <v>10</v>
      </c>
      <c r="D578" s="51" t="s">
        <v>271</v>
      </c>
    </row>
    <row r="579" spans="1:4" ht="25.5" x14ac:dyDescent="0.2">
      <c r="A579" s="26" t="s">
        <v>10</v>
      </c>
      <c r="B579" s="29" t="s">
        <v>306</v>
      </c>
      <c r="C579" s="12">
        <v>5</v>
      </c>
      <c r="D579" s="59" t="s">
        <v>410</v>
      </c>
    </row>
    <row r="580" spans="1:4" ht="38.25" x14ac:dyDescent="0.2">
      <c r="A580" s="26" t="s">
        <v>13</v>
      </c>
      <c r="B580" s="29" t="s">
        <v>411</v>
      </c>
      <c r="C580" s="12">
        <v>3</v>
      </c>
      <c r="D580" s="51" t="s">
        <v>275</v>
      </c>
    </row>
    <row r="581" spans="1:4" ht="25.5" x14ac:dyDescent="0.2">
      <c r="A581" s="26" t="s">
        <v>16</v>
      </c>
      <c r="B581" s="29" t="s">
        <v>366</v>
      </c>
      <c r="C581" s="12">
        <v>3</v>
      </c>
      <c r="D581" s="51" t="s">
        <v>277</v>
      </c>
    </row>
    <row r="582" spans="1:4" x14ac:dyDescent="0.2">
      <c r="A582" s="9">
        <v>22.8</v>
      </c>
      <c r="B582" s="17" t="s">
        <v>412</v>
      </c>
      <c r="C582" s="10">
        <f>+C583</f>
        <v>5</v>
      </c>
      <c r="D582" s="5"/>
    </row>
    <row r="583" spans="1:4" ht="25.5" x14ac:dyDescent="0.2">
      <c r="A583" s="26" t="s">
        <v>7</v>
      </c>
      <c r="B583" s="15" t="s">
        <v>413</v>
      </c>
      <c r="C583" s="12">
        <v>5</v>
      </c>
      <c r="D583" s="51" t="s">
        <v>414</v>
      </c>
    </row>
    <row r="584" spans="1:4" x14ac:dyDescent="0.2">
      <c r="A584" s="9">
        <v>22.9</v>
      </c>
      <c r="B584" s="17" t="s">
        <v>479</v>
      </c>
      <c r="C584" s="10">
        <f>+C585</f>
        <v>5</v>
      </c>
      <c r="D584" s="5"/>
    </row>
    <row r="585" spans="1:4" ht="25.5" x14ac:dyDescent="0.2">
      <c r="A585" s="26" t="s">
        <v>10</v>
      </c>
      <c r="B585" s="29" t="s">
        <v>416</v>
      </c>
      <c r="C585" s="12">
        <v>5</v>
      </c>
      <c r="D585" s="51" t="s">
        <v>417</v>
      </c>
    </row>
    <row r="586" spans="1:4" x14ac:dyDescent="0.2">
      <c r="A586" s="78"/>
      <c r="B586" s="78"/>
    </row>
    <row r="587" spans="1:4" ht="15" customHeight="1" x14ac:dyDescent="0.2">
      <c r="A587" s="79">
        <v>23</v>
      </c>
      <c r="B587" s="80"/>
      <c r="C587" s="80"/>
      <c r="D587" s="81"/>
    </row>
    <row r="588" spans="1:4" ht="15" customHeight="1" x14ac:dyDescent="0.2">
      <c r="A588" s="79" t="s">
        <v>436</v>
      </c>
      <c r="B588" s="80"/>
      <c r="C588" s="80"/>
      <c r="D588" s="81"/>
    </row>
    <row r="589" spans="1:4" ht="15" customHeight="1" x14ac:dyDescent="0.2">
      <c r="A589" s="79" t="s">
        <v>480</v>
      </c>
      <c r="B589" s="80"/>
      <c r="C589" s="80"/>
      <c r="D589" s="81"/>
    </row>
    <row r="590" spans="1:4" x14ac:dyDescent="0.2">
      <c r="A590" s="76"/>
      <c r="B590" s="76" t="s">
        <v>4</v>
      </c>
      <c r="C590" s="77"/>
      <c r="D590" s="5"/>
    </row>
    <row r="591" spans="1:4" x14ac:dyDescent="0.2">
      <c r="A591" s="76"/>
      <c r="B591" s="76"/>
      <c r="C591" s="77"/>
      <c r="D591" s="5"/>
    </row>
    <row r="592" spans="1:4" x14ac:dyDescent="0.2">
      <c r="A592" s="9">
        <v>23.1</v>
      </c>
      <c r="B592" s="17" t="s">
        <v>481</v>
      </c>
      <c r="C592" s="10">
        <f>SUM(C593:C598)</f>
        <v>45</v>
      </c>
      <c r="D592" s="48" t="s">
        <v>617</v>
      </c>
    </row>
    <row r="593" spans="1:4" ht="38.25" x14ac:dyDescent="0.2">
      <c r="A593" s="26" t="s">
        <v>7</v>
      </c>
      <c r="B593" s="29" t="s">
        <v>482</v>
      </c>
      <c r="C593" s="12">
        <v>10</v>
      </c>
      <c r="D593" s="51" t="s">
        <v>454</v>
      </c>
    </row>
    <row r="594" spans="1:4" x14ac:dyDescent="0.2">
      <c r="A594" s="26" t="s">
        <v>10</v>
      </c>
      <c r="B594" s="29" t="s">
        <v>483</v>
      </c>
      <c r="C594" s="12">
        <v>10</v>
      </c>
      <c r="D594" s="51" t="s">
        <v>484</v>
      </c>
    </row>
    <row r="595" spans="1:4" x14ac:dyDescent="0.2">
      <c r="A595" s="26" t="s">
        <v>13</v>
      </c>
      <c r="B595" s="2" t="s">
        <v>485</v>
      </c>
      <c r="C595" s="12">
        <v>10</v>
      </c>
      <c r="D595" s="51" t="s">
        <v>486</v>
      </c>
    </row>
    <row r="596" spans="1:4" ht="25.5" x14ac:dyDescent="0.2">
      <c r="A596" s="26" t="s">
        <v>16</v>
      </c>
      <c r="B596" s="2" t="s">
        <v>487</v>
      </c>
      <c r="C596" s="12">
        <v>5</v>
      </c>
      <c r="D596" s="51" t="s">
        <v>488</v>
      </c>
    </row>
    <row r="597" spans="1:4" x14ac:dyDescent="0.2">
      <c r="A597" s="26" t="s">
        <v>112</v>
      </c>
      <c r="B597" s="2" t="s">
        <v>489</v>
      </c>
      <c r="C597" s="12">
        <v>5</v>
      </c>
      <c r="D597" s="51" t="s">
        <v>490</v>
      </c>
    </row>
    <row r="598" spans="1:4" ht="25.5" x14ac:dyDescent="0.2">
      <c r="A598" s="26" t="s">
        <v>215</v>
      </c>
      <c r="B598" s="2" t="s">
        <v>491</v>
      </c>
      <c r="C598" s="12">
        <v>5</v>
      </c>
      <c r="D598" s="51" t="s">
        <v>492</v>
      </c>
    </row>
    <row r="599" spans="1:4" x14ac:dyDescent="0.2">
      <c r="A599" s="9">
        <v>23.2</v>
      </c>
      <c r="B599" s="11" t="s">
        <v>493</v>
      </c>
      <c r="C599" s="10">
        <f>SUM(C600:C605)</f>
        <v>22</v>
      </c>
      <c r="D599" s="5"/>
    </row>
    <row r="600" spans="1:4" ht="25.5" x14ac:dyDescent="0.2">
      <c r="A600" s="26" t="s">
        <v>7</v>
      </c>
      <c r="B600" s="2" t="s">
        <v>494</v>
      </c>
      <c r="C600" s="12">
        <v>5</v>
      </c>
      <c r="D600" s="51" t="s">
        <v>495</v>
      </c>
    </row>
    <row r="601" spans="1:4" ht="25.5" x14ac:dyDescent="0.2">
      <c r="A601" s="26" t="s">
        <v>10</v>
      </c>
      <c r="B601" s="29" t="s">
        <v>496</v>
      </c>
      <c r="C601" s="12">
        <v>3</v>
      </c>
      <c r="D601" s="51" t="s">
        <v>497</v>
      </c>
    </row>
    <row r="602" spans="1:4" x14ac:dyDescent="0.2">
      <c r="A602" s="26" t="s">
        <v>13</v>
      </c>
      <c r="B602" s="29" t="s">
        <v>498</v>
      </c>
      <c r="C602" s="12">
        <v>3</v>
      </c>
      <c r="D602" s="51" t="s">
        <v>499</v>
      </c>
    </row>
    <row r="603" spans="1:4" ht="25.5" x14ac:dyDescent="0.2">
      <c r="A603" s="26" t="s">
        <v>16</v>
      </c>
      <c r="B603" s="29" t="s">
        <v>500</v>
      </c>
      <c r="C603" s="12">
        <v>5</v>
      </c>
      <c r="D603" s="51" t="s">
        <v>501</v>
      </c>
    </row>
    <row r="604" spans="1:4" x14ac:dyDescent="0.2">
      <c r="A604" s="26" t="s">
        <v>112</v>
      </c>
      <c r="B604" s="2" t="s">
        <v>502</v>
      </c>
      <c r="C604" s="12">
        <v>3</v>
      </c>
      <c r="D604" s="51"/>
    </row>
    <row r="605" spans="1:4" ht="25.5" x14ac:dyDescent="0.2">
      <c r="A605" s="12" t="s">
        <v>215</v>
      </c>
      <c r="B605" s="29" t="s">
        <v>503</v>
      </c>
      <c r="C605" s="12">
        <v>3</v>
      </c>
      <c r="D605" s="51"/>
    </row>
    <row r="606" spans="1:4" x14ac:dyDescent="0.2">
      <c r="A606" s="9">
        <v>23.3</v>
      </c>
      <c r="B606" s="17" t="s">
        <v>378</v>
      </c>
      <c r="C606" s="10">
        <f>+C607+C608</f>
        <v>6</v>
      </c>
      <c r="D606" s="5"/>
    </row>
    <row r="607" spans="1:4" ht="25.5" x14ac:dyDescent="0.2">
      <c r="A607" s="26" t="s">
        <v>7</v>
      </c>
      <c r="B607" s="29" t="s">
        <v>504</v>
      </c>
      <c r="C607" s="12">
        <v>3</v>
      </c>
      <c r="D607" s="59" t="s">
        <v>505</v>
      </c>
    </row>
    <row r="608" spans="1:4" x14ac:dyDescent="0.2">
      <c r="A608" s="26" t="s">
        <v>10</v>
      </c>
      <c r="B608" s="29" t="s">
        <v>506</v>
      </c>
      <c r="C608" s="12">
        <v>3</v>
      </c>
      <c r="D608" s="51" t="s">
        <v>151</v>
      </c>
    </row>
    <row r="609" spans="1:4" x14ac:dyDescent="0.2">
      <c r="A609" s="10">
        <v>23.4</v>
      </c>
      <c r="B609" s="17" t="s">
        <v>507</v>
      </c>
      <c r="C609" s="10">
        <f>+C610+C611</f>
        <v>10</v>
      </c>
      <c r="D609" s="5"/>
    </row>
    <row r="610" spans="1:4" ht="25.5" x14ac:dyDescent="0.2">
      <c r="A610" s="12" t="s">
        <v>7</v>
      </c>
      <c r="B610" s="29" t="s">
        <v>508</v>
      </c>
      <c r="C610" s="12">
        <v>5</v>
      </c>
      <c r="D610" s="59" t="s">
        <v>391</v>
      </c>
    </row>
    <row r="611" spans="1:4" ht="25.5" x14ac:dyDescent="0.2">
      <c r="A611" s="12" t="s">
        <v>10</v>
      </c>
      <c r="B611" s="29" t="s">
        <v>509</v>
      </c>
      <c r="C611" s="12">
        <v>5</v>
      </c>
      <c r="D611" s="51" t="s">
        <v>417</v>
      </c>
    </row>
    <row r="612" spans="1:4" x14ac:dyDescent="0.2">
      <c r="A612" s="78"/>
      <c r="B612" s="78"/>
    </row>
    <row r="613" spans="1:4" ht="15" customHeight="1" x14ac:dyDescent="0.2">
      <c r="A613" s="79">
        <v>24</v>
      </c>
      <c r="B613" s="80"/>
      <c r="C613" s="80"/>
      <c r="D613" s="81"/>
    </row>
    <row r="614" spans="1:4" ht="15" customHeight="1" x14ac:dyDescent="0.2">
      <c r="A614" s="79" t="s">
        <v>510</v>
      </c>
      <c r="B614" s="80"/>
      <c r="C614" s="80"/>
      <c r="D614" s="81"/>
    </row>
    <row r="615" spans="1:4" ht="15" customHeight="1" x14ac:dyDescent="0.2">
      <c r="A615" s="79" t="s">
        <v>511</v>
      </c>
      <c r="B615" s="80"/>
      <c r="C615" s="80"/>
      <c r="D615" s="81"/>
    </row>
    <row r="616" spans="1:4" x14ac:dyDescent="0.2">
      <c r="A616" s="76"/>
      <c r="B616" s="76" t="s">
        <v>4</v>
      </c>
      <c r="C616" s="77"/>
      <c r="D616" s="5"/>
    </row>
    <row r="617" spans="1:4" x14ac:dyDescent="0.2">
      <c r="A617" s="76"/>
      <c r="B617" s="76"/>
      <c r="C617" s="77"/>
      <c r="D617" s="5"/>
    </row>
    <row r="618" spans="1:4" ht="25.5" x14ac:dyDescent="0.2">
      <c r="A618" s="10">
        <v>24.1</v>
      </c>
      <c r="B618" s="11" t="s">
        <v>512</v>
      </c>
      <c r="C618" s="10">
        <f>SUM(C619:C620)</f>
        <v>10</v>
      </c>
      <c r="D618" s="48" t="s">
        <v>617</v>
      </c>
    </row>
    <row r="619" spans="1:4" ht="25.5" x14ac:dyDescent="0.2">
      <c r="A619" s="12" t="s">
        <v>7</v>
      </c>
      <c r="B619" s="2" t="s">
        <v>513</v>
      </c>
      <c r="C619" s="12">
        <v>5</v>
      </c>
      <c r="D619" s="51" t="s">
        <v>514</v>
      </c>
    </row>
    <row r="620" spans="1:4" ht="25.5" x14ac:dyDescent="0.2">
      <c r="A620" s="12" t="s">
        <v>10</v>
      </c>
      <c r="B620" s="2" t="s">
        <v>515</v>
      </c>
      <c r="C620" s="12">
        <v>5</v>
      </c>
      <c r="D620" s="51" t="s">
        <v>516</v>
      </c>
    </row>
    <row r="621" spans="1:4" x14ac:dyDescent="0.2">
      <c r="A621" s="12" t="s">
        <v>13</v>
      </c>
      <c r="B621" s="2" t="s">
        <v>517</v>
      </c>
      <c r="C621" s="12">
        <v>10</v>
      </c>
      <c r="D621" s="51" t="s">
        <v>518</v>
      </c>
    </row>
    <row r="622" spans="1:4" x14ac:dyDescent="0.2">
      <c r="A622" s="78"/>
      <c r="B622" s="78"/>
    </row>
    <row r="623" spans="1:4" ht="15" customHeight="1" x14ac:dyDescent="0.2">
      <c r="A623" s="79">
        <v>25</v>
      </c>
      <c r="B623" s="80"/>
      <c r="C623" s="80"/>
      <c r="D623" s="81"/>
    </row>
    <row r="624" spans="1:4" ht="15" customHeight="1" x14ac:dyDescent="0.2">
      <c r="A624" s="79" t="s">
        <v>519</v>
      </c>
      <c r="B624" s="80"/>
      <c r="C624" s="80"/>
      <c r="D624" s="81"/>
    </row>
    <row r="625" spans="1:4" ht="15" customHeight="1" x14ac:dyDescent="0.2">
      <c r="A625" s="79" t="s">
        <v>520</v>
      </c>
      <c r="B625" s="80"/>
      <c r="C625" s="80"/>
      <c r="D625" s="81"/>
    </row>
    <row r="626" spans="1:4" x14ac:dyDescent="0.2">
      <c r="A626" s="76"/>
      <c r="B626" s="76" t="s">
        <v>4</v>
      </c>
      <c r="C626" s="77"/>
      <c r="D626" s="5"/>
    </row>
    <row r="627" spans="1:4" x14ac:dyDescent="0.2">
      <c r="A627" s="76"/>
      <c r="B627" s="76"/>
      <c r="C627" s="77"/>
      <c r="D627" s="5"/>
    </row>
    <row r="628" spans="1:4" x14ac:dyDescent="0.2">
      <c r="A628" s="10">
        <v>25.1</v>
      </c>
      <c r="B628" s="11" t="s">
        <v>521</v>
      </c>
      <c r="C628" s="10">
        <f>SUM(C629:C634)</f>
        <v>24</v>
      </c>
      <c r="D628" s="48" t="s">
        <v>617</v>
      </c>
    </row>
    <row r="629" spans="1:4" x14ac:dyDescent="0.2">
      <c r="A629" s="12" t="s">
        <v>7</v>
      </c>
      <c r="B629" s="29" t="s">
        <v>522</v>
      </c>
      <c r="C629" s="12">
        <v>5</v>
      </c>
      <c r="D629" s="51" t="s">
        <v>523</v>
      </c>
    </row>
    <row r="630" spans="1:4" x14ac:dyDescent="0.2">
      <c r="A630" s="12" t="s">
        <v>10</v>
      </c>
      <c r="B630" s="2" t="s">
        <v>524</v>
      </c>
      <c r="C630" s="12">
        <v>3</v>
      </c>
      <c r="D630" s="51" t="s">
        <v>525</v>
      </c>
    </row>
    <row r="631" spans="1:4" ht="25.5" x14ac:dyDescent="0.2">
      <c r="A631" s="12" t="s">
        <v>13</v>
      </c>
      <c r="B631" s="2" t="s">
        <v>526</v>
      </c>
      <c r="C631" s="12">
        <v>3</v>
      </c>
      <c r="D631" s="51" t="s">
        <v>527</v>
      </c>
    </row>
    <row r="632" spans="1:4" ht="25.5" x14ac:dyDescent="0.2">
      <c r="A632" s="12" t="s">
        <v>16</v>
      </c>
      <c r="B632" s="2" t="s">
        <v>528</v>
      </c>
      <c r="C632" s="12">
        <v>5</v>
      </c>
      <c r="D632" s="51" t="s">
        <v>529</v>
      </c>
    </row>
    <row r="633" spans="1:4" ht="25.5" x14ac:dyDescent="0.2">
      <c r="A633" s="12" t="s">
        <v>112</v>
      </c>
      <c r="B633" s="2" t="s">
        <v>530</v>
      </c>
      <c r="C633" s="12">
        <v>5</v>
      </c>
      <c r="D633" s="51" t="s">
        <v>531</v>
      </c>
    </row>
    <row r="634" spans="1:4" ht="25.5" x14ac:dyDescent="0.2">
      <c r="A634" s="12" t="s">
        <v>215</v>
      </c>
      <c r="B634" s="2" t="s">
        <v>532</v>
      </c>
      <c r="C634" s="12">
        <v>3</v>
      </c>
      <c r="D634" s="51" t="s">
        <v>533</v>
      </c>
    </row>
    <row r="635" spans="1:4" ht="25.5" x14ac:dyDescent="0.2">
      <c r="A635" s="9">
        <v>25.2</v>
      </c>
      <c r="B635" s="17" t="s">
        <v>534</v>
      </c>
      <c r="C635" s="10">
        <f>SUM(C636:C640)</f>
        <v>23</v>
      </c>
      <c r="D635" s="5"/>
    </row>
    <row r="636" spans="1:4" x14ac:dyDescent="0.2">
      <c r="A636" s="43" t="s">
        <v>7</v>
      </c>
      <c r="B636" s="29" t="s">
        <v>522</v>
      </c>
      <c r="C636" s="12">
        <v>5</v>
      </c>
      <c r="D636" s="51" t="s">
        <v>523</v>
      </c>
    </row>
    <row r="637" spans="1:4" x14ac:dyDescent="0.2">
      <c r="A637" s="26" t="s">
        <v>10</v>
      </c>
      <c r="B637" s="29" t="s">
        <v>333</v>
      </c>
      <c r="C637" s="12">
        <v>5</v>
      </c>
      <c r="D637" s="51" t="s">
        <v>264</v>
      </c>
    </row>
    <row r="638" spans="1:4" x14ac:dyDescent="0.2">
      <c r="A638" s="26" t="s">
        <v>13</v>
      </c>
      <c r="B638" s="29" t="s">
        <v>334</v>
      </c>
      <c r="C638" s="12">
        <v>5</v>
      </c>
      <c r="D638" s="51" t="s">
        <v>266</v>
      </c>
    </row>
    <row r="639" spans="1:4" ht="25.5" x14ac:dyDescent="0.2">
      <c r="A639" s="26" t="s">
        <v>16</v>
      </c>
      <c r="B639" s="29" t="s">
        <v>616</v>
      </c>
      <c r="C639" s="12">
        <v>3</v>
      </c>
      <c r="D639" s="51" t="s">
        <v>535</v>
      </c>
    </row>
    <row r="640" spans="1:4" ht="51" x14ac:dyDescent="0.2">
      <c r="A640" s="26" t="s">
        <v>112</v>
      </c>
      <c r="B640" s="29" t="s">
        <v>536</v>
      </c>
      <c r="C640" s="12">
        <v>5</v>
      </c>
      <c r="D640" s="51" t="s">
        <v>537</v>
      </c>
    </row>
    <row r="641" spans="1:4" x14ac:dyDescent="0.2">
      <c r="A641" s="9">
        <v>25.3</v>
      </c>
      <c r="B641" s="17" t="s">
        <v>538</v>
      </c>
      <c r="C641" s="10">
        <f>SUM(C642:C646)</f>
        <v>21</v>
      </c>
      <c r="D641" s="5"/>
    </row>
    <row r="642" spans="1:4" x14ac:dyDescent="0.2">
      <c r="A642" s="26" t="s">
        <v>7</v>
      </c>
      <c r="B642" s="29" t="s">
        <v>522</v>
      </c>
      <c r="C642" s="12">
        <v>5</v>
      </c>
      <c r="D642" s="51" t="s">
        <v>523</v>
      </c>
    </row>
    <row r="643" spans="1:4" ht="25.5" x14ac:dyDescent="0.2">
      <c r="A643" s="26" t="s">
        <v>10</v>
      </c>
      <c r="B643" s="29" t="s">
        <v>539</v>
      </c>
      <c r="C643" s="12">
        <v>3</v>
      </c>
      <c r="D643" s="51" t="s">
        <v>527</v>
      </c>
    </row>
    <row r="644" spans="1:4" ht="38.25" x14ac:dyDescent="0.2">
      <c r="A644" s="26" t="s">
        <v>13</v>
      </c>
      <c r="B644" s="29" t="s">
        <v>540</v>
      </c>
      <c r="C644" s="12">
        <v>5</v>
      </c>
      <c r="D644" s="51" t="s">
        <v>529</v>
      </c>
    </row>
    <row r="645" spans="1:4" ht="38.25" x14ac:dyDescent="0.2">
      <c r="A645" s="26" t="s">
        <v>16</v>
      </c>
      <c r="B645" s="29" t="s">
        <v>541</v>
      </c>
      <c r="C645" s="12">
        <v>5</v>
      </c>
      <c r="D645" s="51" t="s">
        <v>531</v>
      </c>
    </row>
    <row r="646" spans="1:4" ht="25.5" x14ac:dyDescent="0.2">
      <c r="A646" s="26" t="s">
        <v>112</v>
      </c>
      <c r="B646" s="29" t="s">
        <v>335</v>
      </c>
      <c r="C646" s="12">
        <v>3</v>
      </c>
      <c r="D646" s="59" t="s">
        <v>335</v>
      </c>
    </row>
    <row r="647" spans="1:4" x14ac:dyDescent="0.2">
      <c r="A647" s="9">
        <v>25.4</v>
      </c>
      <c r="B647" s="17" t="s">
        <v>542</v>
      </c>
      <c r="C647" s="10">
        <f>SUM(C648:C653)</f>
        <v>24</v>
      </c>
      <c r="D647" s="5"/>
    </row>
    <row r="648" spans="1:4" x14ac:dyDescent="0.2">
      <c r="A648" s="26" t="s">
        <v>7</v>
      </c>
      <c r="B648" s="29" t="s">
        <v>522</v>
      </c>
      <c r="C648" s="12">
        <v>5</v>
      </c>
      <c r="D648" s="51" t="s">
        <v>523</v>
      </c>
    </row>
    <row r="649" spans="1:4" ht="25.5" x14ac:dyDescent="0.2">
      <c r="A649" s="26" t="s">
        <v>10</v>
      </c>
      <c r="B649" s="29" t="s">
        <v>539</v>
      </c>
      <c r="C649" s="12">
        <v>3</v>
      </c>
      <c r="D649" s="51" t="s">
        <v>527</v>
      </c>
    </row>
    <row r="650" spans="1:4" ht="38.25" x14ac:dyDescent="0.2">
      <c r="A650" s="26" t="s">
        <v>13</v>
      </c>
      <c r="B650" s="29" t="s">
        <v>540</v>
      </c>
      <c r="C650" s="12">
        <v>5</v>
      </c>
      <c r="D650" s="51" t="s">
        <v>529</v>
      </c>
    </row>
    <row r="651" spans="1:4" ht="38.25" x14ac:dyDescent="0.2">
      <c r="A651" s="26" t="s">
        <v>16</v>
      </c>
      <c r="B651" s="29" t="s">
        <v>541</v>
      </c>
      <c r="C651" s="12">
        <v>5</v>
      </c>
      <c r="D651" s="51" t="s">
        <v>531</v>
      </c>
    </row>
    <row r="652" spans="1:4" ht="25.5" x14ac:dyDescent="0.2">
      <c r="A652" s="26" t="s">
        <v>112</v>
      </c>
      <c r="B652" s="29" t="s">
        <v>335</v>
      </c>
      <c r="C652" s="12">
        <v>3</v>
      </c>
      <c r="D652" s="59" t="s">
        <v>335</v>
      </c>
    </row>
    <row r="653" spans="1:4" ht="25.5" x14ac:dyDescent="0.2">
      <c r="A653" s="26" t="s">
        <v>321</v>
      </c>
      <c r="B653" s="29" t="s">
        <v>543</v>
      </c>
      <c r="C653" s="12">
        <v>3</v>
      </c>
      <c r="D653" s="59" t="s">
        <v>543</v>
      </c>
    </row>
    <row r="654" spans="1:4" x14ac:dyDescent="0.2">
      <c r="A654" s="10">
        <v>25.5</v>
      </c>
      <c r="B654" s="11" t="s">
        <v>544</v>
      </c>
      <c r="C654" s="10">
        <f>SUM(C655:C662)</f>
        <v>38</v>
      </c>
      <c r="D654" s="5"/>
    </row>
    <row r="655" spans="1:4" ht="105" x14ac:dyDescent="0.2">
      <c r="A655" s="12" t="s">
        <v>7</v>
      </c>
      <c r="B655" s="2" t="s">
        <v>545</v>
      </c>
      <c r="C655" s="12">
        <v>5</v>
      </c>
      <c r="D655" s="61" t="s">
        <v>546</v>
      </c>
    </row>
    <row r="656" spans="1:4" ht="25.5" x14ac:dyDescent="0.2">
      <c r="A656" s="12" t="s">
        <v>10</v>
      </c>
      <c r="B656" s="2" t="s">
        <v>547</v>
      </c>
      <c r="C656" s="12">
        <v>5</v>
      </c>
      <c r="D656" s="51" t="s">
        <v>548</v>
      </c>
    </row>
    <row r="657" spans="1:4" ht="38.25" x14ac:dyDescent="0.2">
      <c r="A657" s="12" t="s">
        <v>13</v>
      </c>
      <c r="B657" s="2" t="s">
        <v>549</v>
      </c>
      <c r="C657" s="12">
        <v>5</v>
      </c>
      <c r="D657" s="51" t="s">
        <v>550</v>
      </c>
    </row>
    <row r="658" spans="1:4" ht="38.25" x14ac:dyDescent="0.2">
      <c r="A658" s="12" t="s">
        <v>16</v>
      </c>
      <c r="B658" s="2" t="s">
        <v>551</v>
      </c>
      <c r="C658" s="12">
        <v>5</v>
      </c>
      <c r="D658" s="51" t="s">
        <v>552</v>
      </c>
    </row>
    <row r="659" spans="1:4" ht="25.5" x14ac:dyDescent="0.2">
      <c r="A659" s="12" t="s">
        <v>112</v>
      </c>
      <c r="B659" s="2" t="s">
        <v>553</v>
      </c>
      <c r="C659" s="12">
        <v>5</v>
      </c>
      <c r="D659" s="51" t="s">
        <v>554</v>
      </c>
    </row>
    <row r="660" spans="1:4" ht="25.5" x14ac:dyDescent="0.2">
      <c r="A660" s="12" t="s">
        <v>215</v>
      </c>
      <c r="B660" s="2" t="s">
        <v>555</v>
      </c>
      <c r="C660" s="12">
        <v>5</v>
      </c>
      <c r="D660" s="51" t="s">
        <v>556</v>
      </c>
    </row>
    <row r="661" spans="1:4" ht="25.5" x14ac:dyDescent="0.2">
      <c r="A661" s="12" t="s">
        <v>321</v>
      </c>
      <c r="B661" s="2" t="s">
        <v>557</v>
      </c>
      <c r="C661" s="12">
        <v>5</v>
      </c>
      <c r="D661" s="51" t="s">
        <v>558</v>
      </c>
    </row>
    <row r="662" spans="1:4" ht="25.5" x14ac:dyDescent="0.2">
      <c r="A662" s="12" t="s">
        <v>322</v>
      </c>
      <c r="B662" s="2" t="s">
        <v>559</v>
      </c>
      <c r="C662" s="12">
        <v>3</v>
      </c>
      <c r="D662" s="60" t="s">
        <v>559</v>
      </c>
    </row>
    <row r="663" spans="1:4" ht="25.5" x14ac:dyDescent="0.2">
      <c r="A663" s="10">
        <v>25.6</v>
      </c>
      <c r="B663" s="11" t="s">
        <v>560</v>
      </c>
      <c r="C663" s="10">
        <f>SUM(C664:C668)</f>
        <v>17</v>
      </c>
      <c r="D663" s="5"/>
    </row>
    <row r="664" spans="1:4" ht="25.5" x14ac:dyDescent="0.2">
      <c r="A664" s="12" t="s">
        <v>7</v>
      </c>
      <c r="B664" s="2" t="s">
        <v>561</v>
      </c>
      <c r="C664" s="12">
        <v>3</v>
      </c>
      <c r="D664" s="51" t="s">
        <v>561</v>
      </c>
    </row>
    <row r="665" spans="1:4" ht="25.5" x14ac:dyDescent="0.2">
      <c r="A665" s="12" t="s">
        <v>10</v>
      </c>
      <c r="B665" s="2" t="s">
        <v>562</v>
      </c>
      <c r="C665" s="12">
        <v>3</v>
      </c>
      <c r="D665" s="51" t="s">
        <v>562</v>
      </c>
    </row>
    <row r="666" spans="1:4" ht="25.5" x14ac:dyDescent="0.2">
      <c r="A666" s="12" t="s">
        <v>13</v>
      </c>
      <c r="B666" s="2" t="s">
        <v>563</v>
      </c>
      <c r="C666" s="12">
        <v>3</v>
      </c>
      <c r="D666" s="51" t="s">
        <v>563</v>
      </c>
    </row>
    <row r="667" spans="1:4" ht="25.5" x14ac:dyDescent="0.2">
      <c r="A667" s="12" t="s">
        <v>16</v>
      </c>
      <c r="B667" s="2" t="s">
        <v>564</v>
      </c>
      <c r="C667" s="12">
        <v>5</v>
      </c>
      <c r="D667" s="51" t="s">
        <v>564</v>
      </c>
    </row>
    <row r="668" spans="1:4" ht="38.25" x14ac:dyDescent="0.2">
      <c r="A668" s="12" t="s">
        <v>112</v>
      </c>
      <c r="B668" s="2" t="s">
        <v>565</v>
      </c>
      <c r="C668" s="12">
        <v>3</v>
      </c>
      <c r="D668" s="51" t="s">
        <v>565</v>
      </c>
    </row>
    <row r="670" spans="1:4" ht="15" customHeight="1" x14ac:dyDescent="0.2">
      <c r="A670" s="76">
        <v>26</v>
      </c>
      <c r="B670" s="76"/>
      <c r="C670" s="76"/>
      <c r="D670" s="76"/>
    </row>
    <row r="671" spans="1:4" ht="15" customHeight="1" x14ac:dyDescent="0.2">
      <c r="A671" s="76" t="s">
        <v>239</v>
      </c>
      <c r="B671" s="76"/>
      <c r="C671" s="76"/>
      <c r="D671" s="76"/>
    </row>
    <row r="672" spans="1:4" ht="15" customHeight="1" x14ac:dyDescent="0.2">
      <c r="A672" s="76" t="s">
        <v>566</v>
      </c>
      <c r="B672" s="76"/>
      <c r="C672" s="76"/>
      <c r="D672" s="76"/>
    </row>
    <row r="673" spans="1:4" x14ac:dyDescent="0.2">
      <c r="A673" s="76"/>
      <c r="B673" s="76" t="s">
        <v>4</v>
      </c>
      <c r="C673" s="77"/>
      <c r="D673" s="5"/>
    </row>
    <row r="674" spans="1:4" x14ac:dyDescent="0.2">
      <c r="A674" s="76"/>
      <c r="B674" s="76"/>
      <c r="C674" s="77"/>
      <c r="D674" s="5"/>
    </row>
    <row r="675" spans="1:4" x14ac:dyDescent="0.2">
      <c r="A675" s="34">
        <v>26.1</v>
      </c>
      <c r="B675" s="44" t="s">
        <v>567</v>
      </c>
      <c r="C675" s="34">
        <f>SUM(C676:C677)</f>
        <v>10</v>
      </c>
      <c r="D675" s="48" t="s">
        <v>617</v>
      </c>
    </row>
    <row r="676" spans="1:4" x14ac:dyDescent="0.2">
      <c r="A676" s="12" t="s">
        <v>7</v>
      </c>
      <c r="B676" s="2" t="s">
        <v>568</v>
      </c>
      <c r="C676" s="12">
        <v>5</v>
      </c>
      <c r="D676" s="51" t="s">
        <v>569</v>
      </c>
    </row>
    <row r="677" spans="1:4" ht="25.5" x14ac:dyDescent="0.2">
      <c r="A677" s="12" t="s">
        <v>10</v>
      </c>
      <c r="B677" s="2" t="s">
        <v>570</v>
      </c>
      <c r="C677" s="12">
        <v>5</v>
      </c>
      <c r="D677" s="51" t="s">
        <v>571</v>
      </c>
    </row>
    <row r="679" spans="1:4" ht="15" customHeight="1" x14ac:dyDescent="0.2">
      <c r="A679" s="79">
        <v>27</v>
      </c>
      <c r="B679" s="80"/>
      <c r="C679" s="80"/>
      <c r="D679" s="81"/>
    </row>
    <row r="680" spans="1:4" x14ac:dyDescent="0.2">
      <c r="A680" s="9"/>
      <c r="B680" s="79" t="s">
        <v>572</v>
      </c>
      <c r="C680" s="80"/>
      <c r="D680" s="81"/>
    </row>
    <row r="681" spans="1:4" ht="15" customHeight="1" x14ac:dyDescent="0.2">
      <c r="A681" s="79" t="s">
        <v>573</v>
      </c>
      <c r="B681" s="80"/>
      <c r="C681" s="80"/>
      <c r="D681" s="81"/>
    </row>
    <row r="682" spans="1:4" x14ac:dyDescent="0.2">
      <c r="A682" s="76"/>
      <c r="B682" s="76" t="s">
        <v>4</v>
      </c>
      <c r="C682" s="77"/>
      <c r="D682" s="5"/>
    </row>
    <row r="683" spans="1:4" x14ac:dyDescent="0.2">
      <c r="A683" s="76"/>
      <c r="B683" s="76"/>
      <c r="C683" s="77"/>
      <c r="D683" s="5"/>
    </row>
    <row r="684" spans="1:4" x14ac:dyDescent="0.2">
      <c r="A684" s="10">
        <v>27.1</v>
      </c>
      <c r="B684" s="11" t="s">
        <v>573</v>
      </c>
      <c r="C684" s="10">
        <f>SUM(C685:C686)</f>
        <v>10</v>
      </c>
      <c r="D684" s="48" t="s">
        <v>617</v>
      </c>
    </row>
    <row r="685" spans="1:4" x14ac:dyDescent="0.2">
      <c r="A685" s="12" t="s">
        <v>7</v>
      </c>
      <c r="B685" s="2" t="s">
        <v>574</v>
      </c>
      <c r="C685" s="12">
        <v>5</v>
      </c>
      <c r="D685" s="51" t="s">
        <v>575</v>
      </c>
    </row>
    <row r="686" spans="1:4" ht="34.5" customHeight="1" x14ac:dyDescent="0.2">
      <c r="A686" s="12" t="s">
        <v>10</v>
      </c>
      <c r="B686" s="2" t="s">
        <v>576</v>
      </c>
      <c r="C686" s="12">
        <v>5</v>
      </c>
      <c r="D686" s="51" t="s">
        <v>577</v>
      </c>
    </row>
    <row r="687" spans="1:4" x14ac:dyDescent="0.2">
      <c r="A687" s="10">
        <v>27.2</v>
      </c>
      <c r="B687" s="11" t="s">
        <v>578</v>
      </c>
      <c r="C687" s="10">
        <f>+C688</f>
        <v>10</v>
      </c>
      <c r="D687" s="5"/>
    </row>
    <row r="688" spans="1:4" ht="25.5" x14ac:dyDescent="0.2">
      <c r="A688" s="12" t="s">
        <v>7</v>
      </c>
      <c r="B688" s="2" t="s">
        <v>579</v>
      </c>
      <c r="C688" s="12">
        <v>10</v>
      </c>
      <c r="D688" s="51" t="s">
        <v>579</v>
      </c>
    </row>
    <row r="689" spans="1:4" ht="25.5" x14ac:dyDescent="0.2">
      <c r="A689" s="10">
        <v>27.3</v>
      </c>
      <c r="B689" s="11" t="s">
        <v>580</v>
      </c>
      <c r="C689" s="10">
        <f>SUM(C690:C691)</f>
        <v>15</v>
      </c>
      <c r="D689" s="5"/>
    </row>
    <row r="690" spans="1:4" ht="25.5" x14ac:dyDescent="0.2">
      <c r="A690" s="12" t="s">
        <v>7</v>
      </c>
      <c r="B690" s="2" t="s">
        <v>581</v>
      </c>
      <c r="C690" s="12">
        <v>10</v>
      </c>
      <c r="D690" s="51" t="s">
        <v>582</v>
      </c>
    </row>
    <row r="691" spans="1:4" ht="25.5" x14ac:dyDescent="0.2">
      <c r="A691" s="12" t="s">
        <v>10</v>
      </c>
      <c r="B691" s="2" t="s">
        <v>583</v>
      </c>
      <c r="C691" s="12">
        <v>5</v>
      </c>
      <c r="D691" s="51" t="s">
        <v>584</v>
      </c>
    </row>
    <row r="692" spans="1:4" ht="25.5" x14ac:dyDescent="0.2">
      <c r="A692" s="45">
        <v>27.4</v>
      </c>
      <c r="B692" s="46" t="s">
        <v>585</v>
      </c>
      <c r="C692" s="45">
        <f>SUM(C694:C695)</f>
        <v>0</v>
      </c>
      <c r="D692" s="4"/>
    </row>
    <row r="693" spans="1:4" x14ac:dyDescent="0.2">
      <c r="A693" s="12" t="s">
        <v>7</v>
      </c>
      <c r="B693" s="2" t="s">
        <v>586</v>
      </c>
      <c r="C693" s="12">
        <v>0</v>
      </c>
      <c r="D693" s="51" t="s">
        <v>587</v>
      </c>
    </row>
    <row r="694" spans="1:4" ht="25.5" x14ac:dyDescent="0.2">
      <c r="A694" s="12" t="s">
        <v>10</v>
      </c>
      <c r="B694" s="2" t="s">
        <v>588</v>
      </c>
      <c r="C694" s="12">
        <v>0</v>
      </c>
      <c r="D694" s="51" t="s">
        <v>587</v>
      </c>
    </row>
    <row r="695" spans="1:4" ht="25.5" x14ac:dyDescent="0.2">
      <c r="A695" s="12" t="s">
        <v>13</v>
      </c>
      <c r="B695" s="2" t="s">
        <v>589</v>
      </c>
      <c r="C695" s="12">
        <v>0</v>
      </c>
      <c r="D695" s="51" t="s">
        <v>587</v>
      </c>
    </row>
    <row r="697" spans="1:4" x14ac:dyDescent="0.2">
      <c r="A697" s="76"/>
      <c r="B697" s="76" t="s">
        <v>590</v>
      </c>
      <c r="C697" s="77"/>
      <c r="D697" s="5"/>
    </row>
    <row r="698" spans="1:4" x14ac:dyDescent="0.2">
      <c r="A698" s="76"/>
      <c r="B698" s="76"/>
      <c r="C698" s="77"/>
      <c r="D698" s="5"/>
    </row>
    <row r="699" spans="1:4" ht="68.25" customHeight="1" x14ac:dyDescent="0.2">
      <c r="A699" s="12">
        <v>1</v>
      </c>
      <c r="B699" s="2" t="s">
        <v>591</v>
      </c>
      <c r="C699" s="12">
        <v>5</v>
      </c>
      <c r="D699" s="51" t="s">
        <v>592</v>
      </c>
    </row>
  </sheetData>
  <mergeCells count="180">
    <mergeCell ref="AF198:AH198"/>
    <mergeCell ref="AF199:AH199"/>
    <mergeCell ref="A409:A410"/>
    <mergeCell ref="B409:B410"/>
    <mergeCell ref="C409:C410"/>
    <mergeCell ref="A408:D408"/>
    <mergeCell ref="A320:A321"/>
    <mergeCell ref="B320:B321"/>
    <mergeCell ref="C320:C321"/>
    <mergeCell ref="A672:D672"/>
    <mergeCell ref="A679:D679"/>
    <mergeCell ref="A589:D589"/>
    <mergeCell ref="A613:D613"/>
    <mergeCell ref="A614:D614"/>
    <mergeCell ref="A615:D615"/>
    <mergeCell ref="A623:D623"/>
    <mergeCell ref="A624:D624"/>
    <mergeCell ref="A517:D517"/>
    <mergeCell ref="A518:D518"/>
    <mergeCell ref="A519:D519"/>
    <mergeCell ref="A550:D550"/>
    <mergeCell ref="A551:D551"/>
    <mergeCell ref="A552:D552"/>
    <mergeCell ref="A443:D443"/>
    <mergeCell ref="A444:D444"/>
    <mergeCell ref="A445:D445"/>
    <mergeCell ref="A379:D379"/>
    <mergeCell ref="A380:D380"/>
    <mergeCell ref="A381:D381"/>
    <mergeCell ref="A406:D406"/>
    <mergeCell ref="A407:D407"/>
    <mergeCell ref="A235:D235"/>
    <mergeCell ref="A278:D278"/>
    <mergeCell ref="A279:D279"/>
    <mergeCell ref="A280:D280"/>
    <mergeCell ref="A317:D317"/>
    <mergeCell ref="A318:D318"/>
    <mergeCell ref="A382:A383"/>
    <mergeCell ref="B382:B383"/>
    <mergeCell ref="C382:C383"/>
    <mergeCell ref="A356:A357"/>
    <mergeCell ref="B356:B357"/>
    <mergeCell ref="C356:C357"/>
    <mergeCell ref="A319:D319"/>
    <mergeCell ref="A353:D353"/>
    <mergeCell ref="A354:D354"/>
    <mergeCell ref="A355:D355"/>
    <mergeCell ref="A101:D101"/>
    <mergeCell ref="A108:D108"/>
    <mergeCell ref="A109:D109"/>
    <mergeCell ref="A110:D110"/>
    <mergeCell ref="A129:D129"/>
    <mergeCell ref="A130:D130"/>
    <mergeCell ref="A188:A189"/>
    <mergeCell ref="B188:B189"/>
    <mergeCell ref="C188:C189"/>
    <mergeCell ref="A111:A112"/>
    <mergeCell ref="B111:B112"/>
    <mergeCell ref="C111:C112"/>
    <mergeCell ref="A128:B128"/>
    <mergeCell ref="A132:A133"/>
    <mergeCell ref="B132:B133"/>
    <mergeCell ref="C132:C133"/>
    <mergeCell ref="A131:D131"/>
    <mergeCell ref="A185:D185"/>
    <mergeCell ref="A186:D186"/>
    <mergeCell ref="A187:D187"/>
    <mergeCell ref="A70:D70"/>
    <mergeCell ref="A71:D71"/>
    <mergeCell ref="A99:D99"/>
    <mergeCell ref="A100:D100"/>
    <mergeCell ref="B27:D27"/>
    <mergeCell ref="A28:D28"/>
    <mergeCell ref="A42:D42"/>
    <mergeCell ref="A43:D43"/>
    <mergeCell ref="A44:D44"/>
    <mergeCell ref="A50:D50"/>
    <mergeCell ref="A69:D69"/>
    <mergeCell ref="A682:A683"/>
    <mergeCell ref="B682:B683"/>
    <mergeCell ref="C682:C683"/>
    <mergeCell ref="A697:A698"/>
    <mergeCell ref="B697:B698"/>
    <mergeCell ref="C697:C698"/>
    <mergeCell ref="A622:B622"/>
    <mergeCell ref="A626:A627"/>
    <mergeCell ref="B626:B627"/>
    <mergeCell ref="C626:C627"/>
    <mergeCell ref="A673:A674"/>
    <mergeCell ref="B673:B674"/>
    <mergeCell ref="C673:C674"/>
    <mergeCell ref="A625:D625"/>
    <mergeCell ref="A670:D670"/>
    <mergeCell ref="A671:D671"/>
    <mergeCell ref="B680:D680"/>
    <mergeCell ref="A681:D681"/>
    <mergeCell ref="A586:B586"/>
    <mergeCell ref="A590:A591"/>
    <mergeCell ref="B590:B591"/>
    <mergeCell ref="C590:C591"/>
    <mergeCell ref="A612:B612"/>
    <mergeCell ref="A616:A617"/>
    <mergeCell ref="B616:B617"/>
    <mergeCell ref="C616:C617"/>
    <mergeCell ref="A587:D587"/>
    <mergeCell ref="A588:D588"/>
    <mergeCell ref="A520:A521"/>
    <mergeCell ref="B520:B521"/>
    <mergeCell ref="C520:C521"/>
    <mergeCell ref="A549:B549"/>
    <mergeCell ref="A553:A554"/>
    <mergeCell ref="B553:B554"/>
    <mergeCell ref="C553:C554"/>
    <mergeCell ref="A446:A447"/>
    <mergeCell ref="B446:B447"/>
    <mergeCell ref="C446:C447"/>
    <mergeCell ref="A485:A486"/>
    <mergeCell ref="B485:B486"/>
    <mergeCell ref="C485:C486"/>
    <mergeCell ref="A483:D483"/>
    <mergeCell ref="A484:D484"/>
    <mergeCell ref="A482:D482"/>
    <mergeCell ref="A232:B232"/>
    <mergeCell ref="A236:A237"/>
    <mergeCell ref="B236:B237"/>
    <mergeCell ref="C236:C237"/>
    <mergeCell ref="A277:B277"/>
    <mergeCell ref="A281:A282"/>
    <mergeCell ref="B281:B282"/>
    <mergeCell ref="C281:C282"/>
    <mergeCell ref="A233:D233"/>
    <mergeCell ref="A234:D234"/>
    <mergeCell ref="A199:A200"/>
    <mergeCell ref="B199:B200"/>
    <mergeCell ref="C199:C200"/>
    <mergeCell ref="A143:B143"/>
    <mergeCell ref="A147:A148"/>
    <mergeCell ref="B147:B148"/>
    <mergeCell ref="C147:C148"/>
    <mergeCell ref="A179:A180"/>
    <mergeCell ref="B179:B180"/>
    <mergeCell ref="C179:C180"/>
    <mergeCell ref="A144:D144"/>
    <mergeCell ref="A145:D145"/>
    <mergeCell ref="A146:D146"/>
    <mergeCell ref="A176:D176"/>
    <mergeCell ref="A177:D177"/>
    <mergeCell ref="A178:D178"/>
    <mergeCell ref="A196:D196"/>
    <mergeCell ref="A197:D197"/>
    <mergeCell ref="A198:D198"/>
    <mergeCell ref="A2:C2"/>
    <mergeCell ref="A25:B25"/>
    <mergeCell ref="A53:A54"/>
    <mergeCell ref="B53:B54"/>
    <mergeCell ref="C53:C54"/>
    <mergeCell ref="A4:D4"/>
    <mergeCell ref="A5:D5"/>
    <mergeCell ref="A6:D6"/>
    <mergeCell ref="A26:D26"/>
    <mergeCell ref="A51:D51"/>
    <mergeCell ref="A52:D52"/>
    <mergeCell ref="W198:Y198"/>
    <mergeCell ref="W199:Y199"/>
    <mergeCell ref="Z198:AB198"/>
    <mergeCell ref="Z199:AB199"/>
    <mergeCell ref="AC198:AE198"/>
    <mergeCell ref="AC199:AE199"/>
    <mergeCell ref="E199:G199"/>
    <mergeCell ref="H199:J199"/>
    <mergeCell ref="K199:M199"/>
    <mergeCell ref="N199:P199"/>
    <mergeCell ref="Q199:S199"/>
    <mergeCell ref="T199:V199"/>
    <mergeCell ref="E198:G198"/>
    <mergeCell ref="H198:J198"/>
    <mergeCell ref="K198:M198"/>
    <mergeCell ref="N198:P198"/>
    <mergeCell ref="Q198:S198"/>
    <mergeCell ref="T198:V198"/>
  </mergeCells>
  <pageMargins left="0.7" right="0.7" top="0.75" bottom="0.75" header="0.3" footer="0.3"/>
  <pageSetup paperSize="9" scale="6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ddcc20d-54eb-4e0c-8c8e-68191b9e77f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1FE58B838D3AB4A9D9EB83766207BC7" ma:contentTypeVersion="15" ma:contentTypeDescription="Create a new document." ma:contentTypeScope="" ma:versionID="f32fb409d16e140eda0bc49de69cc018">
  <xsd:schema xmlns:xsd="http://www.w3.org/2001/XMLSchema" xmlns:xs="http://www.w3.org/2001/XMLSchema" xmlns:p="http://schemas.microsoft.com/office/2006/metadata/properties" xmlns:ns2="5ddcc20d-54eb-4e0c-8c8e-68191b9e77f3" xmlns:ns3="b1d5d547-3699-4d73-b78c-9a0a792e7d80" targetNamespace="http://schemas.microsoft.com/office/2006/metadata/properties" ma:root="true" ma:fieldsID="42b65800c2a7d709fef9bd972906efad" ns2:_="" ns3:_="">
    <xsd:import namespace="5ddcc20d-54eb-4e0c-8c8e-68191b9e77f3"/>
    <xsd:import namespace="b1d5d547-3699-4d73-b78c-9a0a792e7d8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dcc20d-54eb-4e0c-8c8e-68191b9e77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accf7ca-3348-4002-8371-c8bbb925151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5d547-3699-4d73-b78c-9a0a792e7d8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750092-5B8C-4FBC-815B-9DF8525C9A40}">
  <ds:schemaRefs>
    <ds:schemaRef ds:uri="http://schemas.microsoft.com/sharepoint/v3/contenttype/forms"/>
  </ds:schemaRefs>
</ds:datastoreItem>
</file>

<file path=customXml/itemProps2.xml><?xml version="1.0" encoding="utf-8"?>
<ds:datastoreItem xmlns:ds="http://schemas.openxmlformats.org/officeDocument/2006/customXml" ds:itemID="{EE6430B5-F3E4-45C9-A405-B30939CF3276}">
  <ds:schemaRefs>
    <ds:schemaRef ds:uri="http://purl.org/dc/elements/1.1/"/>
    <ds:schemaRef ds:uri="http://www.w3.org/XML/1998/namespace"/>
    <ds:schemaRef ds:uri="http://schemas.microsoft.com/office/2006/documentManagement/types"/>
    <ds:schemaRef ds:uri="http://schemas.openxmlformats.org/package/2006/metadata/core-properties"/>
    <ds:schemaRef ds:uri="5ddcc20d-54eb-4e0c-8c8e-68191b9e77f3"/>
    <ds:schemaRef ds:uri="http://purl.org/dc/terms/"/>
    <ds:schemaRef ds:uri="http://purl.org/dc/dcmitype/"/>
    <ds:schemaRef ds:uri="http://schemas.microsoft.com/office/2006/metadata/properties"/>
    <ds:schemaRef ds:uri="http://schemas.microsoft.com/office/infopath/2007/PartnerControls"/>
    <ds:schemaRef ds:uri="b1d5d547-3699-4d73-b78c-9a0a792e7d80"/>
  </ds:schemaRefs>
</ds:datastoreItem>
</file>

<file path=customXml/itemProps3.xml><?xml version="1.0" encoding="utf-8"?>
<ds:datastoreItem xmlns:ds="http://schemas.openxmlformats.org/officeDocument/2006/customXml" ds:itemID="{9D0C36CD-A3CB-4CE2-843F-3C22CC9714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dcc20d-54eb-4e0c-8c8e-68191b9e77f3"/>
    <ds:schemaRef ds:uri="b1d5d547-3699-4d73-b78c-9a0a792e7d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ROC NATIONAL</vt:lpstr>
      <vt:lpstr>'ROC NATIONAL'!Print_Area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Chetty</dc:creator>
  <cp:lastModifiedBy>Karen Chetty</cp:lastModifiedBy>
  <dcterms:created xsi:type="dcterms:W3CDTF">2025-05-01T18:39:24Z</dcterms:created>
  <dcterms:modified xsi:type="dcterms:W3CDTF">2025-05-08T10:17:33Z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0x010100C1FE58B838D3AB4A9D9EB83766207BC7</vt:lpwstr>
  </property>
  <property fmtid="{D5CDD505-2E9C-101B-9397-08002B2CF9AE}" pid="3" name="MediaServiceImageTags">
    <vt:lpwstr/>
  </property>
</Properties>
</file>